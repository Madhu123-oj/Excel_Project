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r\OneDrive\Documents\"/>
    </mc:Choice>
  </mc:AlternateContent>
  <xr:revisionPtr revIDLastSave="0" documentId="13_ncr:1_{830665C1-3B9E-4580-8086-5BB0872E5292}" xr6:coauthVersionLast="47" xr6:coauthVersionMax="47" xr10:uidLastSave="{00000000-0000-0000-0000-000000000000}"/>
  <bookViews>
    <workbookView xWindow="-108" yWindow="-108" windowWidth="23256" windowHeight="12456" xr2:uid="{618F49DF-0EB8-445D-8FBF-7248A9C1EDF7}"/>
  </bookViews>
  <sheets>
    <sheet name="Task 5" sheetId="1" r:id="rId1"/>
  </sheets>
  <externalReferences>
    <externalReference r:id="rId2"/>
  </externalReferences>
  <definedNames>
    <definedName name="_xlnm._FilterDatabase" localSheetId="0" hidden="1">'Task 5'!$A$1:$S$1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M5" i="1"/>
  <c r="J5" i="1"/>
  <c r="I5" i="1"/>
  <c r="H5" i="1"/>
  <c r="G5" i="1"/>
  <c r="F5" i="1"/>
  <c r="E5" i="1"/>
  <c r="D5" i="1"/>
  <c r="R5" i="1" s="1"/>
  <c r="C5" i="1"/>
  <c r="S5" i="1" s="1"/>
  <c r="B5" i="1"/>
  <c r="N5" i="1" s="1"/>
  <c r="Q4" i="1"/>
  <c r="M4" i="1"/>
  <c r="J4" i="1"/>
  <c r="I4" i="1"/>
  <c r="H4" i="1"/>
  <c r="G4" i="1"/>
  <c r="F4" i="1"/>
  <c r="E4" i="1"/>
  <c r="D4" i="1"/>
  <c r="R4" i="1" s="1"/>
  <c r="C4" i="1"/>
  <c r="S4" i="1" s="1"/>
  <c r="B4" i="1"/>
  <c r="Q3" i="1"/>
  <c r="M3" i="1"/>
  <c r="J3" i="1"/>
  <c r="I3" i="1"/>
  <c r="H3" i="1"/>
  <c r="G3" i="1"/>
  <c r="F3" i="1"/>
  <c r="E3" i="1"/>
  <c r="D3" i="1"/>
  <c r="R3" i="1" s="1"/>
  <c r="C3" i="1"/>
  <c r="S3" i="1" s="1"/>
  <c r="B3" i="1"/>
  <c r="N3" i="1" s="1"/>
  <c r="Q2" i="1"/>
  <c r="R2" i="1" s="1"/>
  <c r="M2" i="1"/>
  <c r="J2" i="1"/>
  <c r="I2" i="1"/>
  <c r="H2" i="1"/>
  <c r="G2" i="1"/>
  <c r="F2" i="1"/>
  <c r="E2" i="1"/>
  <c r="D2" i="1"/>
  <c r="C2" i="1"/>
  <c r="K2" i="1" s="1"/>
  <c r="B2" i="1"/>
  <c r="L2" i="1" s="1"/>
  <c r="O2" i="1" s="1"/>
  <c r="L3" i="1" l="1"/>
  <c r="O3" i="1" s="1"/>
  <c r="P3" i="1" s="1"/>
  <c r="N4" i="1"/>
  <c r="K3" i="1"/>
  <c r="N2" i="1"/>
  <c r="P2" i="1" s="1"/>
  <c r="S2" i="1"/>
  <c r="K4" i="1"/>
  <c r="L4" i="1" s="1"/>
  <c r="O4" i="1" s="1"/>
  <c r="K5" i="1"/>
  <c r="L5" i="1" s="1"/>
  <c r="O5" i="1" s="1"/>
  <c r="P5" i="1" s="1"/>
  <c r="P4" i="1" l="1"/>
</calcChain>
</file>

<file path=xl/sharedStrings.xml><?xml version="1.0" encoding="utf-8"?>
<sst xmlns="http://schemas.openxmlformats.org/spreadsheetml/2006/main" count="23" uniqueCount="23">
  <si>
    <t>Campaign_Name</t>
  </si>
  <si>
    <t>Start_Date</t>
  </si>
  <si>
    <t>End_Date</t>
  </si>
  <si>
    <t>Total budget</t>
  </si>
  <si>
    <t>Total Impressions</t>
  </si>
  <si>
    <t xml:space="preserve">Total Likes </t>
  </si>
  <si>
    <t>Total Clicks</t>
  </si>
  <si>
    <t>Average Impressions</t>
  </si>
  <si>
    <t>Average Likes</t>
  </si>
  <si>
    <t>Average Clicks</t>
  </si>
  <si>
    <t>Campaign Duration (Days)</t>
  </si>
  <si>
    <t>"Before" Period Start Date</t>
  </si>
  <si>
    <t>"Before" Period End Date</t>
  </si>
  <si>
    <t>Avg Engagement During Campaign</t>
  </si>
  <si>
    <t>Avg Engagement Before Campaign</t>
  </si>
  <si>
    <t>Engagement Uplift</t>
  </si>
  <si>
    <t>Total Post Engagement</t>
  </si>
  <si>
    <t>Engagement ROI</t>
  </si>
  <si>
    <t>Total Follower Growth During Campaign</t>
  </si>
  <si>
    <t>DailyWellness</t>
  </si>
  <si>
    <t>SummerSplash</t>
  </si>
  <si>
    <t>FestiveRadiance</t>
  </si>
  <si>
    <t>NewYearRefresh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</si>
</sst>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externalLinkPath" Target="file:///C:\Users\ravir\Downloads\Prepare%20tabl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ts"/>
      <sheetName val="Engagement Summary"/>
      <sheetName val="Campaign Metadata"/>
      <sheetName val="Task 2"/>
      <sheetName val="Task 2(Pivot Table)"/>
      <sheetName val="Task 2(Pivot Tables)"/>
      <sheetName val="Task 3(a)"/>
      <sheetName val="Task 4(a)"/>
      <sheetName val="Task 4(b)"/>
      <sheetName val="Task 5"/>
      <sheetName val="Task 6(a)"/>
      <sheetName val="Sheet1"/>
      <sheetName val="Sheet6"/>
      <sheetName val="Average Eng Rate per platform"/>
    </sheetNames>
    <sheetDataSet>
      <sheetData sheetId="0">
        <row r="1">
          <cell r="C1" t="str">
            <v>Date</v>
          </cell>
          <cell r="F1" t="str">
            <v>Likes</v>
          </cell>
          <cell r="G1" t="str">
            <v>Shares</v>
          </cell>
          <cell r="H1" t="str">
            <v>Comments</v>
          </cell>
          <cell r="I1" t="str">
            <v>Impressions</v>
          </cell>
          <cell r="K1" t="str">
            <v>Clicks</v>
          </cell>
          <cell r="M1" t="str">
            <v>Campaign_Name</v>
          </cell>
          <cell r="N1" t="str">
            <v>Engagement Rate</v>
          </cell>
        </row>
        <row r="2">
          <cell r="C2">
            <v>45649</v>
          </cell>
          <cell r="F2">
            <v>1461</v>
          </cell>
          <cell r="G2">
            <v>184</v>
          </cell>
          <cell r="H2">
            <v>344</v>
          </cell>
          <cell r="I2">
            <v>21915</v>
          </cell>
          <cell r="K2">
            <v>15</v>
          </cell>
          <cell r="M2" t="str">
            <v>SummerSplash</v>
          </cell>
          <cell r="N2">
            <v>9.0759753593429152E-2</v>
          </cell>
        </row>
        <row r="3">
          <cell r="C3">
            <v>45649</v>
          </cell>
          <cell r="F3">
            <v>1461</v>
          </cell>
          <cell r="G3">
            <v>184</v>
          </cell>
          <cell r="H3">
            <v>344</v>
          </cell>
          <cell r="I3">
            <v>21915</v>
          </cell>
          <cell r="K3">
            <v>15</v>
          </cell>
          <cell r="M3" t="str">
            <v>SummerSplash</v>
          </cell>
          <cell r="N3">
            <v>9.0759753593429152E-2</v>
          </cell>
        </row>
        <row r="4">
          <cell r="C4">
            <v>45750</v>
          </cell>
          <cell r="F4">
            <v>4054</v>
          </cell>
          <cell r="G4">
            <v>389</v>
          </cell>
          <cell r="H4">
            <v>493</v>
          </cell>
          <cell r="I4">
            <v>64864</v>
          </cell>
          <cell r="K4">
            <v>117</v>
          </cell>
          <cell r="M4" t="str">
            <v>FestiveRadiance</v>
          </cell>
          <cell r="N4">
            <v>7.6097681302417369E-2</v>
          </cell>
        </row>
        <row r="5">
          <cell r="C5">
            <v>45750</v>
          </cell>
          <cell r="F5">
            <v>4054</v>
          </cell>
          <cell r="G5">
            <v>389</v>
          </cell>
          <cell r="H5">
            <v>493</v>
          </cell>
          <cell r="I5">
            <v>64864</v>
          </cell>
          <cell r="K5">
            <v>117</v>
          </cell>
          <cell r="M5" t="str">
            <v>FestiveRadiance</v>
          </cell>
          <cell r="N5">
            <v>7.6097681302417369E-2</v>
          </cell>
        </row>
        <row r="6">
          <cell r="C6">
            <v>45789</v>
          </cell>
          <cell r="F6">
            <v>2795</v>
          </cell>
          <cell r="G6">
            <v>105</v>
          </cell>
          <cell r="H6">
            <v>49</v>
          </cell>
          <cell r="I6">
            <v>53105</v>
          </cell>
          <cell r="K6">
            <v>204</v>
          </cell>
          <cell r="M6" t="str">
            <v>NewYearRefresh</v>
          </cell>
          <cell r="N6">
            <v>5.5531494209584788E-2</v>
          </cell>
        </row>
        <row r="7">
          <cell r="C7">
            <v>45516</v>
          </cell>
          <cell r="F7">
            <v>2404</v>
          </cell>
          <cell r="G7">
            <v>363</v>
          </cell>
          <cell r="H7">
            <v>138</v>
          </cell>
          <cell r="I7">
            <v>19232</v>
          </cell>
          <cell r="K7">
            <v>128</v>
          </cell>
          <cell r="M7" t="str">
            <v>DailyWellness</v>
          </cell>
          <cell r="N7">
            <v>0.15105033277870217</v>
          </cell>
        </row>
        <row r="8">
          <cell r="C8">
            <v>45469</v>
          </cell>
          <cell r="F8">
            <v>3557</v>
          </cell>
          <cell r="G8">
            <v>687</v>
          </cell>
          <cell r="H8">
            <v>424</v>
          </cell>
          <cell r="I8">
            <v>71140</v>
          </cell>
          <cell r="K8">
            <v>224</v>
          </cell>
          <cell r="M8" t="str">
            <v>SummerSplash</v>
          </cell>
          <cell r="N8">
            <v>6.5617093055946027E-2</v>
          </cell>
        </row>
        <row r="9">
          <cell r="C9">
            <v>45469</v>
          </cell>
          <cell r="F9">
            <v>3557</v>
          </cell>
          <cell r="G9">
            <v>687</v>
          </cell>
          <cell r="H9">
            <v>424</v>
          </cell>
          <cell r="I9">
            <v>71140</v>
          </cell>
          <cell r="K9">
            <v>224</v>
          </cell>
          <cell r="M9" t="str">
            <v>SummerSplash</v>
          </cell>
          <cell r="N9">
            <v>6.5617093055946027E-2</v>
          </cell>
        </row>
        <row r="10">
          <cell r="C10">
            <v>45596</v>
          </cell>
          <cell r="F10">
            <v>2945</v>
          </cell>
          <cell r="G10">
            <v>930</v>
          </cell>
          <cell r="H10">
            <v>355</v>
          </cell>
          <cell r="I10">
            <v>23560</v>
          </cell>
          <cell r="K10">
            <v>256</v>
          </cell>
          <cell r="M10" t="str">
            <v>FestiveRadiance</v>
          </cell>
          <cell r="N10">
            <v>0.17954159592529711</v>
          </cell>
        </row>
        <row r="11">
          <cell r="C11">
            <v>45467</v>
          </cell>
          <cell r="F11">
            <v>3860</v>
          </cell>
          <cell r="G11">
            <v>201</v>
          </cell>
          <cell r="H11">
            <v>279</v>
          </cell>
          <cell r="I11">
            <v>61760</v>
          </cell>
          <cell r="K11">
            <v>235</v>
          </cell>
          <cell r="M11" t="str">
            <v>FestiveRadiance</v>
          </cell>
          <cell r="N11">
            <v>7.0272020725388601E-2</v>
          </cell>
        </row>
        <row r="12">
          <cell r="C12">
            <v>45486</v>
          </cell>
          <cell r="F12">
            <v>3929</v>
          </cell>
          <cell r="G12">
            <v>262</v>
          </cell>
          <cell r="H12">
            <v>278</v>
          </cell>
          <cell r="I12">
            <v>43219</v>
          </cell>
          <cell r="K12">
            <v>39</v>
          </cell>
          <cell r="M12" t="str">
            <v>DailyWellness</v>
          </cell>
          <cell r="N12">
            <v>0.10340359564080613</v>
          </cell>
        </row>
        <row r="13">
          <cell r="C13">
            <v>45534</v>
          </cell>
          <cell r="F13">
            <v>3784</v>
          </cell>
          <cell r="G13">
            <v>808</v>
          </cell>
          <cell r="H13">
            <v>404</v>
          </cell>
          <cell r="I13">
            <v>56760</v>
          </cell>
          <cell r="K13">
            <v>131</v>
          </cell>
          <cell r="M13" t="str">
            <v>FestiveRadiance</v>
          </cell>
          <cell r="N13">
            <v>8.8019732205778717E-2</v>
          </cell>
        </row>
        <row r="14">
          <cell r="C14">
            <v>45727</v>
          </cell>
          <cell r="F14">
            <v>4241</v>
          </cell>
          <cell r="G14">
            <v>902</v>
          </cell>
          <cell r="H14">
            <v>47</v>
          </cell>
          <cell r="I14">
            <v>72097</v>
          </cell>
          <cell r="K14">
            <v>167</v>
          </cell>
          <cell r="M14" t="str">
            <v>FestiveRadiance</v>
          </cell>
          <cell r="N14">
            <v>7.198635172059864E-2</v>
          </cell>
        </row>
        <row r="15">
          <cell r="C15">
            <v>45690</v>
          </cell>
          <cell r="F15">
            <v>1792</v>
          </cell>
          <cell r="G15">
            <v>614</v>
          </cell>
          <cell r="H15">
            <v>497</v>
          </cell>
          <cell r="I15">
            <v>25088</v>
          </cell>
          <cell r="K15">
            <v>65</v>
          </cell>
          <cell r="M15" t="str">
            <v>DailyWellness</v>
          </cell>
          <cell r="N15">
            <v>0.11571269132653061</v>
          </cell>
        </row>
        <row r="16">
          <cell r="C16">
            <v>45494</v>
          </cell>
          <cell r="F16">
            <v>1946</v>
          </cell>
          <cell r="G16">
            <v>686</v>
          </cell>
          <cell r="H16">
            <v>377</v>
          </cell>
          <cell r="I16">
            <v>23352</v>
          </cell>
          <cell r="K16">
            <v>213</v>
          </cell>
          <cell r="M16" t="str">
            <v>NewYearRefresh</v>
          </cell>
          <cell r="N16">
            <v>0.12885405960945528</v>
          </cell>
        </row>
        <row r="17">
          <cell r="C17">
            <v>45614</v>
          </cell>
          <cell r="F17">
            <v>1171</v>
          </cell>
          <cell r="G17">
            <v>286</v>
          </cell>
          <cell r="H17">
            <v>231</v>
          </cell>
          <cell r="I17">
            <v>22249</v>
          </cell>
          <cell r="K17">
            <v>114</v>
          </cell>
          <cell r="M17" t="str">
            <v>SummerSplash</v>
          </cell>
          <cell r="N17">
            <v>7.5868578363072495E-2</v>
          </cell>
        </row>
        <row r="18">
          <cell r="C18">
            <v>45704</v>
          </cell>
          <cell r="F18">
            <v>4242</v>
          </cell>
          <cell r="G18">
            <v>555</v>
          </cell>
          <cell r="H18">
            <v>131</v>
          </cell>
          <cell r="I18">
            <v>33936</v>
          </cell>
          <cell r="K18">
            <v>265</v>
          </cell>
          <cell r="N18">
            <v>0.14521452145214522</v>
          </cell>
        </row>
        <row r="19">
          <cell r="C19">
            <v>45589</v>
          </cell>
          <cell r="F19">
            <v>3888</v>
          </cell>
          <cell r="G19">
            <v>604</v>
          </cell>
          <cell r="H19">
            <v>128</v>
          </cell>
          <cell r="I19">
            <v>77760</v>
          </cell>
          <cell r="K19">
            <v>20</v>
          </cell>
          <cell r="M19" t="str">
            <v>SummerSplash</v>
          </cell>
          <cell r="N19">
            <v>5.941358024691358E-2</v>
          </cell>
        </row>
        <row r="20">
          <cell r="C20">
            <v>45530</v>
          </cell>
          <cell r="F20">
            <v>3452</v>
          </cell>
          <cell r="G20">
            <v>377</v>
          </cell>
          <cell r="H20">
            <v>360</v>
          </cell>
          <cell r="I20">
            <v>55232</v>
          </cell>
          <cell r="K20">
            <v>87</v>
          </cell>
          <cell r="M20" t="str">
            <v>NewYearRefresh</v>
          </cell>
          <cell r="N20">
            <v>7.5843713789107758E-2</v>
          </cell>
        </row>
        <row r="21">
          <cell r="C21">
            <v>45782</v>
          </cell>
          <cell r="F21">
            <v>4441</v>
          </cell>
          <cell r="G21">
            <v>511</v>
          </cell>
          <cell r="H21">
            <v>70</v>
          </cell>
          <cell r="I21">
            <v>53292</v>
          </cell>
          <cell r="K21">
            <v>159</v>
          </cell>
          <cell r="M21" t="str">
            <v>DailyWellness</v>
          </cell>
          <cell r="N21">
            <v>9.4235532537716729E-2</v>
          </cell>
        </row>
        <row r="22">
          <cell r="C22">
            <v>45523</v>
          </cell>
          <cell r="F22">
            <v>3000</v>
          </cell>
          <cell r="G22">
            <v>382</v>
          </cell>
          <cell r="H22">
            <v>325</v>
          </cell>
          <cell r="I22">
            <v>36000</v>
          </cell>
          <cell r="K22">
            <v>19</v>
          </cell>
          <cell r="M22" t="str">
            <v>SummerSplash</v>
          </cell>
          <cell r="N22">
            <v>0.10297222222222223</v>
          </cell>
        </row>
        <row r="23">
          <cell r="C23">
            <v>45466</v>
          </cell>
          <cell r="F23">
            <v>1071</v>
          </cell>
          <cell r="G23">
            <v>519</v>
          </cell>
          <cell r="H23">
            <v>22</v>
          </cell>
          <cell r="I23">
            <v>16065</v>
          </cell>
          <cell r="K23">
            <v>103</v>
          </cell>
          <cell r="M23" t="str">
            <v>DailyWellness</v>
          </cell>
          <cell r="N23">
            <v>0.10034235916588857</v>
          </cell>
        </row>
        <row r="24">
          <cell r="C24">
            <v>45544</v>
          </cell>
          <cell r="F24">
            <v>4054</v>
          </cell>
          <cell r="G24">
            <v>488</v>
          </cell>
          <cell r="H24">
            <v>373</v>
          </cell>
          <cell r="I24">
            <v>77026</v>
          </cell>
          <cell r="K24">
            <v>25</v>
          </cell>
          <cell r="M24" t="str">
            <v>SummerSplash</v>
          </cell>
          <cell r="N24">
            <v>6.3809622724794221E-2</v>
          </cell>
        </row>
        <row r="25">
          <cell r="C25">
            <v>45661</v>
          </cell>
          <cell r="F25">
            <v>4838</v>
          </cell>
          <cell r="G25">
            <v>640</v>
          </cell>
          <cell r="H25">
            <v>128</v>
          </cell>
          <cell r="I25">
            <v>72570</v>
          </cell>
          <cell r="K25">
            <v>83</v>
          </cell>
          <cell r="M25" t="str">
            <v>DailyWellness</v>
          </cell>
          <cell r="N25">
            <v>7.7249552156538517E-2</v>
          </cell>
        </row>
        <row r="26">
          <cell r="C26">
            <v>45715</v>
          </cell>
          <cell r="F26">
            <v>1570</v>
          </cell>
          <cell r="G26">
            <v>187</v>
          </cell>
          <cell r="H26">
            <v>260</v>
          </cell>
          <cell r="I26">
            <v>25120</v>
          </cell>
          <cell r="K26">
            <v>133</v>
          </cell>
          <cell r="M26" t="str">
            <v>DailyWellness</v>
          </cell>
          <cell r="N26">
            <v>8.0294585987261149E-2</v>
          </cell>
        </row>
        <row r="27">
          <cell r="C27">
            <v>45602</v>
          </cell>
          <cell r="F27">
            <v>1606</v>
          </cell>
          <cell r="G27">
            <v>547</v>
          </cell>
          <cell r="H27">
            <v>316</v>
          </cell>
          <cell r="I27">
            <v>32120</v>
          </cell>
          <cell r="K27">
            <v>225</v>
          </cell>
          <cell r="M27" t="str">
            <v>FestiveRadiance</v>
          </cell>
          <cell r="N27">
            <v>7.6867995018679955E-2</v>
          </cell>
        </row>
        <row r="28">
          <cell r="C28">
            <v>45602</v>
          </cell>
          <cell r="F28">
            <v>1606</v>
          </cell>
          <cell r="G28">
            <v>547</v>
          </cell>
          <cell r="H28">
            <v>316</v>
          </cell>
          <cell r="I28">
            <v>32120</v>
          </cell>
          <cell r="K28">
            <v>225</v>
          </cell>
          <cell r="M28" t="str">
            <v>FestiveRadiance</v>
          </cell>
          <cell r="N28">
            <v>7.6867995018679955E-2</v>
          </cell>
        </row>
        <row r="29">
          <cell r="C29">
            <v>45680</v>
          </cell>
          <cell r="F29">
            <v>3961</v>
          </cell>
          <cell r="G29">
            <v>761</v>
          </cell>
          <cell r="H29">
            <v>131</v>
          </cell>
          <cell r="I29">
            <v>67337</v>
          </cell>
          <cell r="K29">
            <v>161</v>
          </cell>
          <cell r="M29" t="str">
            <v>NewYearRefresh</v>
          </cell>
          <cell r="N29">
            <v>7.2070332803659209E-2</v>
          </cell>
        </row>
        <row r="30">
          <cell r="C30">
            <v>45757</v>
          </cell>
          <cell r="F30">
            <v>3128</v>
          </cell>
          <cell r="G30">
            <v>211</v>
          </cell>
          <cell r="H30">
            <v>197</v>
          </cell>
          <cell r="I30">
            <v>59432</v>
          </cell>
          <cell r="K30">
            <v>238</v>
          </cell>
          <cell r="N30">
            <v>5.9496567505720827E-2</v>
          </cell>
        </row>
        <row r="31">
          <cell r="C31">
            <v>45752</v>
          </cell>
          <cell r="F31">
            <v>3009</v>
          </cell>
          <cell r="G31">
            <v>413</v>
          </cell>
          <cell r="H31">
            <v>358</v>
          </cell>
          <cell r="I31">
            <v>42126</v>
          </cell>
          <cell r="K31">
            <v>211</v>
          </cell>
          <cell r="M31" t="str">
            <v>FestiveRadiance</v>
          </cell>
          <cell r="N31">
            <v>8.9730807577268201E-2</v>
          </cell>
        </row>
        <row r="32">
          <cell r="C32">
            <v>45552</v>
          </cell>
          <cell r="F32">
            <v>2076</v>
          </cell>
          <cell r="G32">
            <v>195</v>
          </cell>
          <cell r="H32">
            <v>104</v>
          </cell>
          <cell r="I32">
            <v>33216</v>
          </cell>
          <cell r="K32">
            <v>51</v>
          </cell>
          <cell r="M32" t="str">
            <v>DailyWellness</v>
          </cell>
          <cell r="N32">
            <v>7.1501685934489398E-2</v>
          </cell>
        </row>
        <row r="33">
          <cell r="C33">
            <v>45720</v>
          </cell>
          <cell r="F33">
            <v>432</v>
          </cell>
          <cell r="G33">
            <v>624</v>
          </cell>
          <cell r="H33">
            <v>123</v>
          </cell>
          <cell r="I33">
            <v>6912</v>
          </cell>
          <cell r="K33">
            <v>79</v>
          </cell>
          <cell r="M33" t="str">
            <v>DailyWellness</v>
          </cell>
          <cell r="N33">
            <v>0.17057291666666666</v>
          </cell>
        </row>
        <row r="34">
          <cell r="C34">
            <v>45688</v>
          </cell>
          <cell r="F34">
            <v>2566</v>
          </cell>
          <cell r="G34">
            <v>118</v>
          </cell>
          <cell r="H34">
            <v>37</v>
          </cell>
          <cell r="I34">
            <v>12830</v>
          </cell>
          <cell r="K34">
            <v>221</v>
          </cell>
          <cell r="M34" t="str">
            <v>NewYearRefresh</v>
          </cell>
          <cell r="N34">
            <v>0.21208106001558846</v>
          </cell>
        </row>
        <row r="35">
          <cell r="C35">
            <v>45713</v>
          </cell>
          <cell r="F35">
            <v>3095</v>
          </cell>
          <cell r="G35">
            <v>39</v>
          </cell>
          <cell r="H35">
            <v>78</v>
          </cell>
          <cell r="I35">
            <v>55710</v>
          </cell>
          <cell r="K35">
            <v>93</v>
          </cell>
          <cell r="N35">
            <v>5.7655717106444085E-2</v>
          </cell>
        </row>
        <row r="36">
          <cell r="C36">
            <v>45642</v>
          </cell>
          <cell r="F36">
            <v>438</v>
          </cell>
          <cell r="G36">
            <v>153</v>
          </cell>
          <cell r="H36">
            <v>275</v>
          </cell>
          <cell r="I36">
            <v>3066</v>
          </cell>
          <cell r="K36">
            <v>282</v>
          </cell>
          <cell r="M36" t="str">
            <v>FestiveRadiance</v>
          </cell>
          <cell r="N36">
            <v>0.28245270711024134</v>
          </cell>
        </row>
        <row r="37">
          <cell r="C37">
            <v>45504</v>
          </cell>
          <cell r="F37">
            <v>2278</v>
          </cell>
          <cell r="G37">
            <v>10</v>
          </cell>
          <cell r="H37">
            <v>321</v>
          </cell>
          <cell r="I37">
            <v>13668</v>
          </cell>
          <cell r="K37">
            <v>275</v>
          </cell>
          <cell r="M37" t="str">
            <v>SummerSplash</v>
          </cell>
          <cell r="N37">
            <v>0.19088381621305239</v>
          </cell>
        </row>
        <row r="38">
          <cell r="C38">
            <v>45525</v>
          </cell>
          <cell r="F38">
            <v>1407</v>
          </cell>
          <cell r="G38">
            <v>400</v>
          </cell>
          <cell r="H38">
            <v>351</v>
          </cell>
          <cell r="I38">
            <v>16884</v>
          </cell>
          <cell r="K38">
            <v>113</v>
          </cell>
          <cell r="M38" t="str">
            <v>SummerSplash</v>
          </cell>
          <cell r="N38">
            <v>0.12781331438047855</v>
          </cell>
        </row>
        <row r="39">
          <cell r="C39">
            <v>45742</v>
          </cell>
          <cell r="F39">
            <v>1652</v>
          </cell>
          <cell r="G39">
            <v>89</v>
          </cell>
          <cell r="H39">
            <v>357</v>
          </cell>
          <cell r="I39">
            <v>29736</v>
          </cell>
          <cell r="K39">
            <v>215</v>
          </cell>
          <cell r="M39" t="str">
            <v>NewYearRefresh</v>
          </cell>
          <cell r="N39">
            <v>7.055421038471886E-2</v>
          </cell>
        </row>
        <row r="40">
          <cell r="C40">
            <v>45626</v>
          </cell>
          <cell r="F40">
            <v>3775</v>
          </cell>
          <cell r="G40">
            <v>16</v>
          </cell>
          <cell r="H40">
            <v>239</v>
          </cell>
          <cell r="I40">
            <v>33975</v>
          </cell>
          <cell r="K40">
            <v>271</v>
          </cell>
          <cell r="M40" t="str">
            <v>FestiveRadiance</v>
          </cell>
          <cell r="N40">
            <v>0.11861662987490802</v>
          </cell>
        </row>
        <row r="41">
          <cell r="C41">
            <v>45766</v>
          </cell>
          <cell r="F41">
            <v>4518</v>
          </cell>
          <cell r="G41">
            <v>285</v>
          </cell>
          <cell r="H41">
            <v>383</v>
          </cell>
          <cell r="I41">
            <v>67770</v>
          </cell>
          <cell r="K41">
            <v>31</v>
          </cell>
          <cell r="M41" t="str">
            <v>FestiveRadiance</v>
          </cell>
          <cell r="N41">
            <v>7.6523535487678915E-2</v>
          </cell>
        </row>
        <row r="42">
          <cell r="C42">
            <v>45663</v>
          </cell>
          <cell r="F42">
            <v>3024</v>
          </cell>
          <cell r="G42">
            <v>925</v>
          </cell>
          <cell r="H42">
            <v>350</v>
          </cell>
          <cell r="I42">
            <v>24192</v>
          </cell>
          <cell r="K42">
            <v>36</v>
          </cell>
          <cell r="M42" t="str">
            <v>FestiveRadiance</v>
          </cell>
          <cell r="N42">
            <v>0.17770337301587302</v>
          </cell>
        </row>
        <row r="43">
          <cell r="C43">
            <v>45705</v>
          </cell>
          <cell r="F43">
            <v>3138</v>
          </cell>
          <cell r="G43">
            <v>123</v>
          </cell>
          <cell r="H43">
            <v>291</v>
          </cell>
          <cell r="I43">
            <v>28242</v>
          </cell>
          <cell r="K43">
            <v>87</v>
          </cell>
          <cell r="M43" t="str">
            <v>DailyWellness</v>
          </cell>
          <cell r="N43">
            <v>0.12577012959422137</v>
          </cell>
        </row>
        <row r="44">
          <cell r="C44">
            <v>45621</v>
          </cell>
          <cell r="F44">
            <v>3564</v>
          </cell>
          <cell r="G44">
            <v>629</v>
          </cell>
          <cell r="H44">
            <v>177</v>
          </cell>
          <cell r="I44">
            <v>60588</v>
          </cell>
          <cell r="K44">
            <v>92</v>
          </cell>
          <cell r="N44">
            <v>7.2126493695121141E-2</v>
          </cell>
        </row>
        <row r="45">
          <cell r="C45">
            <v>45723</v>
          </cell>
          <cell r="F45">
            <v>4750</v>
          </cell>
          <cell r="G45">
            <v>151</v>
          </cell>
          <cell r="H45">
            <v>415</v>
          </cell>
          <cell r="I45">
            <v>38000</v>
          </cell>
          <cell r="K45">
            <v>299</v>
          </cell>
          <cell r="M45" t="str">
            <v>DailyWellness</v>
          </cell>
          <cell r="N45">
            <v>0.13989473684210527</v>
          </cell>
        </row>
        <row r="46">
          <cell r="C46">
            <v>45724</v>
          </cell>
          <cell r="F46">
            <v>456</v>
          </cell>
          <cell r="G46">
            <v>629</v>
          </cell>
          <cell r="H46">
            <v>428</v>
          </cell>
          <cell r="I46">
            <v>8208</v>
          </cell>
          <cell r="K46">
            <v>205</v>
          </cell>
          <cell r="M46" t="str">
            <v>DailyWellness</v>
          </cell>
          <cell r="N46">
            <v>0.18433235867446393</v>
          </cell>
        </row>
        <row r="47">
          <cell r="C47">
            <v>45721</v>
          </cell>
          <cell r="F47">
            <v>1543</v>
          </cell>
          <cell r="G47">
            <v>820</v>
          </cell>
          <cell r="H47">
            <v>333</v>
          </cell>
          <cell r="I47">
            <v>12344</v>
          </cell>
          <cell r="K47">
            <v>241</v>
          </cell>
          <cell r="N47">
            <v>0.21840570317563188</v>
          </cell>
        </row>
        <row r="48">
          <cell r="C48">
            <v>45640</v>
          </cell>
          <cell r="F48">
            <v>2174</v>
          </cell>
          <cell r="G48">
            <v>658</v>
          </cell>
          <cell r="H48">
            <v>15</v>
          </cell>
          <cell r="I48">
            <v>13044</v>
          </cell>
          <cell r="K48">
            <v>137</v>
          </cell>
          <cell r="M48" t="str">
            <v>NewYearRefresh</v>
          </cell>
          <cell r="N48">
            <v>0.21826126954921804</v>
          </cell>
        </row>
        <row r="49">
          <cell r="C49">
            <v>45718</v>
          </cell>
          <cell r="F49">
            <v>2358</v>
          </cell>
          <cell r="G49">
            <v>784</v>
          </cell>
          <cell r="H49">
            <v>344</v>
          </cell>
          <cell r="I49">
            <v>35370</v>
          </cell>
          <cell r="K49">
            <v>216</v>
          </cell>
          <cell r="N49">
            <v>9.8558100084817649E-2</v>
          </cell>
        </row>
        <row r="50">
          <cell r="C50">
            <v>45597</v>
          </cell>
          <cell r="F50">
            <v>3371</v>
          </cell>
          <cell r="G50">
            <v>106</v>
          </cell>
          <cell r="H50">
            <v>327</v>
          </cell>
          <cell r="I50">
            <v>50565</v>
          </cell>
          <cell r="K50">
            <v>176</v>
          </cell>
          <cell r="M50" t="str">
            <v>SummerSplash</v>
          </cell>
          <cell r="N50">
            <v>7.5229902106199939E-2</v>
          </cell>
        </row>
        <row r="51">
          <cell r="C51">
            <v>45779</v>
          </cell>
          <cell r="F51">
            <v>1108</v>
          </cell>
          <cell r="G51">
            <v>177</v>
          </cell>
          <cell r="H51">
            <v>212</v>
          </cell>
          <cell r="I51">
            <v>8864</v>
          </cell>
          <cell r="K51">
            <v>97</v>
          </cell>
          <cell r="M51" t="str">
            <v>DailyWellness</v>
          </cell>
          <cell r="N51">
            <v>0.16888537906137185</v>
          </cell>
        </row>
        <row r="52">
          <cell r="C52">
            <v>45712</v>
          </cell>
          <cell r="F52">
            <v>2704</v>
          </cell>
          <cell r="G52">
            <v>752</v>
          </cell>
          <cell r="H52">
            <v>153</v>
          </cell>
          <cell r="I52">
            <v>21632</v>
          </cell>
          <cell r="K52">
            <v>127</v>
          </cell>
          <cell r="N52">
            <v>0.16683616863905326</v>
          </cell>
        </row>
        <row r="53">
          <cell r="C53">
            <v>45727</v>
          </cell>
          <cell r="F53">
            <v>1950</v>
          </cell>
          <cell r="G53">
            <v>295</v>
          </cell>
          <cell r="H53">
            <v>478</v>
          </cell>
          <cell r="I53">
            <v>37050</v>
          </cell>
          <cell r="K53">
            <v>119</v>
          </cell>
          <cell r="N53">
            <v>7.349527665317139E-2</v>
          </cell>
        </row>
        <row r="54">
          <cell r="C54">
            <v>45453</v>
          </cell>
          <cell r="F54">
            <v>2164</v>
          </cell>
          <cell r="G54">
            <v>549</v>
          </cell>
          <cell r="H54">
            <v>274</v>
          </cell>
          <cell r="I54">
            <v>28132</v>
          </cell>
          <cell r="K54">
            <v>177</v>
          </cell>
          <cell r="M54" t="str">
            <v>DailyWellness</v>
          </cell>
          <cell r="N54">
            <v>0.10617801791554102</v>
          </cell>
        </row>
        <row r="55">
          <cell r="C55">
            <v>45476</v>
          </cell>
          <cell r="F55">
            <v>2754</v>
          </cell>
          <cell r="G55">
            <v>130</v>
          </cell>
          <cell r="H55">
            <v>90</v>
          </cell>
          <cell r="I55">
            <v>22032</v>
          </cell>
          <cell r="K55">
            <v>112</v>
          </cell>
          <cell r="M55" t="str">
            <v>NewYearRefresh</v>
          </cell>
          <cell r="N55">
            <v>0.13498547567175018</v>
          </cell>
        </row>
        <row r="56">
          <cell r="C56">
            <v>45456</v>
          </cell>
          <cell r="F56">
            <v>2200</v>
          </cell>
          <cell r="G56">
            <v>504</v>
          </cell>
          <cell r="H56">
            <v>239</v>
          </cell>
          <cell r="I56">
            <v>37400</v>
          </cell>
          <cell r="K56">
            <v>225</v>
          </cell>
          <cell r="M56" t="str">
            <v>FestiveRadiance</v>
          </cell>
          <cell r="N56">
            <v>7.8689839572192513E-2</v>
          </cell>
        </row>
        <row r="57">
          <cell r="C57">
            <v>45660</v>
          </cell>
          <cell r="F57">
            <v>947</v>
          </cell>
          <cell r="G57">
            <v>338</v>
          </cell>
          <cell r="H57">
            <v>350</v>
          </cell>
          <cell r="I57">
            <v>10417</v>
          </cell>
          <cell r="K57">
            <v>34</v>
          </cell>
          <cell r="M57" t="str">
            <v>DailyWellness</v>
          </cell>
          <cell r="N57">
            <v>0.1569549774407219</v>
          </cell>
        </row>
        <row r="58">
          <cell r="C58">
            <v>45712</v>
          </cell>
          <cell r="F58">
            <v>804</v>
          </cell>
          <cell r="G58">
            <v>639</v>
          </cell>
          <cell r="H58">
            <v>43</v>
          </cell>
          <cell r="I58">
            <v>4020</v>
          </cell>
          <cell r="K58">
            <v>11</v>
          </cell>
          <cell r="N58">
            <v>0.36965174129353234</v>
          </cell>
        </row>
        <row r="59">
          <cell r="C59">
            <v>45712</v>
          </cell>
          <cell r="F59">
            <v>804</v>
          </cell>
          <cell r="G59">
            <v>639</v>
          </cell>
          <cell r="H59">
            <v>43</v>
          </cell>
          <cell r="I59">
            <v>4020</v>
          </cell>
          <cell r="K59">
            <v>11</v>
          </cell>
          <cell r="N59">
            <v>0.36965174129353234</v>
          </cell>
        </row>
        <row r="60">
          <cell r="C60">
            <v>45729</v>
          </cell>
          <cell r="F60">
            <v>1686</v>
          </cell>
          <cell r="G60">
            <v>904</v>
          </cell>
          <cell r="H60">
            <v>472</v>
          </cell>
          <cell r="I60">
            <v>18546</v>
          </cell>
          <cell r="K60">
            <v>52</v>
          </cell>
          <cell r="M60" t="str">
            <v>FestiveRadiance</v>
          </cell>
          <cell r="N60">
            <v>0.16510298716704411</v>
          </cell>
        </row>
        <row r="61">
          <cell r="C61">
            <v>45460</v>
          </cell>
          <cell r="F61">
            <v>1226</v>
          </cell>
          <cell r="G61">
            <v>119</v>
          </cell>
          <cell r="H61">
            <v>7</v>
          </cell>
          <cell r="I61">
            <v>14712</v>
          </cell>
          <cell r="K61">
            <v>123</v>
          </cell>
          <cell r="M61" t="str">
            <v>DailyWellness</v>
          </cell>
          <cell r="N61">
            <v>9.1897770527460579E-2</v>
          </cell>
        </row>
        <row r="62">
          <cell r="C62">
            <v>45644</v>
          </cell>
          <cell r="F62">
            <v>2946</v>
          </cell>
          <cell r="G62">
            <v>498</v>
          </cell>
          <cell r="H62">
            <v>367</v>
          </cell>
          <cell r="I62">
            <v>29460</v>
          </cell>
          <cell r="K62">
            <v>60</v>
          </cell>
          <cell r="M62" t="str">
            <v>NewYearRefresh</v>
          </cell>
          <cell r="N62">
            <v>0.12936184657162253</v>
          </cell>
        </row>
        <row r="63">
          <cell r="C63">
            <v>45586</v>
          </cell>
          <cell r="F63">
            <v>2825</v>
          </cell>
          <cell r="G63">
            <v>535</v>
          </cell>
          <cell r="H63">
            <v>295</v>
          </cell>
          <cell r="I63">
            <v>45200</v>
          </cell>
          <cell r="K63">
            <v>169</v>
          </cell>
          <cell r="M63" t="str">
            <v>SummerSplash</v>
          </cell>
          <cell r="N63">
            <v>8.0862831858407078E-2</v>
          </cell>
        </row>
        <row r="64">
          <cell r="C64">
            <v>45762</v>
          </cell>
          <cell r="F64">
            <v>103</v>
          </cell>
          <cell r="G64">
            <v>770</v>
          </cell>
          <cell r="H64">
            <v>19</v>
          </cell>
          <cell r="I64">
            <v>1030</v>
          </cell>
          <cell r="K64">
            <v>262</v>
          </cell>
          <cell r="M64" t="str">
            <v>DailyWellness</v>
          </cell>
          <cell r="N64">
            <v>0.86601941747572819</v>
          </cell>
        </row>
        <row r="65">
          <cell r="C65">
            <v>45465</v>
          </cell>
          <cell r="F65">
            <v>2180</v>
          </cell>
          <cell r="G65">
            <v>263</v>
          </cell>
          <cell r="H65">
            <v>387</v>
          </cell>
          <cell r="I65">
            <v>30520</v>
          </cell>
          <cell r="K65">
            <v>174</v>
          </cell>
          <cell r="N65">
            <v>9.2726081258191345E-2</v>
          </cell>
        </row>
        <row r="66">
          <cell r="C66">
            <v>45685</v>
          </cell>
          <cell r="F66">
            <v>904</v>
          </cell>
          <cell r="G66">
            <v>973</v>
          </cell>
          <cell r="H66">
            <v>63</v>
          </cell>
          <cell r="I66">
            <v>11752</v>
          </cell>
          <cell r="K66">
            <v>84</v>
          </cell>
          <cell r="M66" t="str">
            <v>NewYearRefresh</v>
          </cell>
          <cell r="N66">
            <v>0.1650782845473111</v>
          </cell>
        </row>
        <row r="67">
          <cell r="C67">
            <v>45685</v>
          </cell>
          <cell r="F67">
            <v>904</v>
          </cell>
          <cell r="G67">
            <v>973</v>
          </cell>
          <cell r="H67">
            <v>63</v>
          </cell>
          <cell r="I67">
            <v>11752</v>
          </cell>
          <cell r="K67">
            <v>84</v>
          </cell>
          <cell r="M67" t="str">
            <v>NewYearRefresh</v>
          </cell>
          <cell r="N67">
            <v>0.1650782845473111</v>
          </cell>
        </row>
        <row r="68">
          <cell r="C68">
            <v>45685</v>
          </cell>
          <cell r="F68">
            <v>904</v>
          </cell>
          <cell r="G68">
            <v>973</v>
          </cell>
          <cell r="H68">
            <v>63</v>
          </cell>
          <cell r="I68">
            <v>11752</v>
          </cell>
          <cell r="K68">
            <v>84</v>
          </cell>
          <cell r="M68" t="str">
            <v>NewYearRefresh</v>
          </cell>
          <cell r="N68">
            <v>0.1650782845473111</v>
          </cell>
        </row>
        <row r="69">
          <cell r="C69">
            <v>45540</v>
          </cell>
          <cell r="F69">
            <v>4886</v>
          </cell>
          <cell r="G69">
            <v>983</v>
          </cell>
          <cell r="H69">
            <v>409</v>
          </cell>
          <cell r="I69">
            <v>43974</v>
          </cell>
          <cell r="K69">
            <v>65</v>
          </cell>
          <cell r="M69" t="str">
            <v>SummerSplash</v>
          </cell>
          <cell r="N69">
            <v>0.14276618001546368</v>
          </cell>
        </row>
        <row r="70">
          <cell r="C70">
            <v>45618</v>
          </cell>
          <cell r="F70">
            <v>53</v>
          </cell>
          <cell r="G70">
            <v>81</v>
          </cell>
          <cell r="H70">
            <v>379</v>
          </cell>
          <cell r="I70">
            <v>954</v>
          </cell>
          <cell r="K70">
            <v>148</v>
          </cell>
          <cell r="M70" t="str">
            <v>NewYearRefresh</v>
          </cell>
          <cell r="N70">
            <v>0.53773584905660377</v>
          </cell>
        </row>
        <row r="71">
          <cell r="C71">
            <v>45504</v>
          </cell>
          <cell r="F71">
            <v>4507</v>
          </cell>
          <cell r="G71">
            <v>217</v>
          </cell>
          <cell r="H71">
            <v>13</v>
          </cell>
          <cell r="I71">
            <v>90140</v>
          </cell>
          <cell r="K71">
            <v>125</v>
          </cell>
          <cell r="M71" t="str">
            <v>NewYearRefresh</v>
          </cell>
          <cell r="N71">
            <v>5.2551586421122697E-2</v>
          </cell>
        </row>
        <row r="72">
          <cell r="C72">
            <v>45521</v>
          </cell>
          <cell r="F72">
            <v>2878</v>
          </cell>
          <cell r="G72">
            <v>248</v>
          </cell>
          <cell r="H72">
            <v>416</v>
          </cell>
          <cell r="I72">
            <v>43170</v>
          </cell>
          <cell r="K72">
            <v>75</v>
          </cell>
          <cell r="M72" t="str">
            <v>NewYearRefresh</v>
          </cell>
          <cell r="N72">
            <v>8.2047718322909427E-2</v>
          </cell>
        </row>
        <row r="73">
          <cell r="C73">
            <v>45744</v>
          </cell>
          <cell r="F73">
            <v>1881</v>
          </cell>
          <cell r="G73">
            <v>501</v>
          </cell>
          <cell r="H73">
            <v>99</v>
          </cell>
          <cell r="I73">
            <v>20691</v>
          </cell>
          <cell r="K73">
            <v>289</v>
          </cell>
          <cell r="N73">
            <v>0.11990720603160794</v>
          </cell>
        </row>
        <row r="74">
          <cell r="C74">
            <v>45499</v>
          </cell>
          <cell r="F74">
            <v>432</v>
          </cell>
          <cell r="G74">
            <v>171</v>
          </cell>
          <cell r="H74">
            <v>280</v>
          </cell>
          <cell r="I74">
            <v>3024</v>
          </cell>
          <cell r="K74">
            <v>184</v>
          </cell>
          <cell r="M74" t="str">
            <v>SummerSplash</v>
          </cell>
          <cell r="N74">
            <v>0.29199735449735448</v>
          </cell>
        </row>
        <row r="75">
          <cell r="C75">
            <v>45745</v>
          </cell>
          <cell r="F75">
            <v>4712</v>
          </cell>
          <cell r="G75">
            <v>568</v>
          </cell>
          <cell r="H75">
            <v>127</v>
          </cell>
          <cell r="I75">
            <v>84816</v>
          </cell>
          <cell r="K75">
            <v>100</v>
          </cell>
          <cell r="M75" t="str">
            <v>NewYearRefresh</v>
          </cell>
          <cell r="N75">
            <v>6.3749764195434822E-2</v>
          </cell>
        </row>
        <row r="76">
          <cell r="C76">
            <v>45634</v>
          </cell>
          <cell r="F76">
            <v>2610</v>
          </cell>
          <cell r="G76">
            <v>126</v>
          </cell>
          <cell r="H76">
            <v>288</v>
          </cell>
          <cell r="I76">
            <v>15660</v>
          </cell>
          <cell r="K76">
            <v>73</v>
          </cell>
          <cell r="N76">
            <v>0.19310344827586207</v>
          </cell>
        </row>
        <row r="77">
          <cell r="C77">
            <v>45724</v>
          </cell>
          <cell r="F77">
            <v>1292</v>
          </cell>
          <cell r="G77">
            <v>626</v>
          </cell>
          <cell r="H77">
            <v>496</v>
          </cell>
          <cell r="I77">
            <v>25840</v>
          </cell>
          <cell r="K77">
            <v>149</v>
          </cell>
          <cell r="M77" t="str">
            <v>NewYearRefresh</v>
          </cell>
          <cell r="N77">
            <v>9.3421052631578946E-2</v>
          </cell>
        </row>
        <row r="78">
          <cell r="C78">
            <v>45749</v>
          </cell>
          <cell r="F78">
            <v>199</v>
          </cell>
          <cell r="G78">
            <v>772</v>
          </cell>
          <cell r="H78">
            <v>400</v>
          </cell>
          <cell r="I78">
            <v>3582</v>
          </cell>
          <cell r="K78">
            <v>43</v>
          </cell>
          <cell r="N78">
            <v>0.38274706867671693</v>
          </cell>
        </row>
        <row r="79">
          <cell r="C79">
            <v>45537</v>
          </cell>
          <cell r="F79">
            <v>2551</v>
          </cell>
          <cell r="G79">
            <v>915</v>
          </cell>
          <cell r="H79">
            <v>205</v>
          </cell>
          <cell r="I79">
            <v>30612</v>
          </cell>
          <cell r="K79">
            <v>227</v>
          </cell>
          <cell r="M79" t="str">
            <v>FestiveRadiance</v>
          </cell>
          <cell r="N79">
            <v>0.1199202926956749</v>
          </cell>
        </row>
        <row r="80">
          <cell r="C80">
            <v>45719</v>
          </cell>
          <cell r="F80">
            <v>296</v>
          </cell>
          <cell r="G80">
            <v>60</v>
          </cell>
          <cell r="H80">
            <v>141</v>
          </cell>
          <cell r="I80">
            <v>5624</v>
          </cell>
          <cell r="K80">
            <v>88</v>
          </cell>
          <cell r="M80" t="str">
            <v>FestiveRadiance</v>
          </cell>
          <cell r="N80">
            <v>8.837126600284495E-2</v>
          </cell>
        </row>
        <row r="81">
          <cell r="C81">
            <v>45583</v>
          </cell>
          <cell r="F81">
            <v>4126</v>
          </cell>
          <cell r="G81">
            <v>426</v>
          </cell>
          <cell r="H81">
            <v>486</v>
          </cell>
          <cell r="I81">
            <v>78394</v>
          </cell>
          <cell r="K81">
            <v>88</v>
          </cell>
          <cell r="M81" t="str">
            <v>DailyWellness</v>
          </cell>
          <cell r="N81">
            <v>6.4265122330790625E-2</v>
          </cell>
        </row>
        <row r="82">
          <cell r="C82">
            <v>45593</v>
          </cell>
          <cell r="F82">
            <v>1855</v>
          </cell>
          <cell r="G82">
            <v>200</v>
          </cell>
          <cell r="H82">
            <v>174</v>
          </cell>
          <cell r="I82">
            <v>16695</v>
          </cell>
          <cell r="K82">
            <v>123</v>
          </cell>
          <cell r="M82" t="str">
            <v>NewYearRefresh</v>
          </cell>
          <cell r="N82">
            <v>0.13351302785265048</v>
          </cell>
        </row>
        <row r="83">
          <cell r="C83">
            <v>45505</v>
          </cell>
          <cell r="F83">
            <v>1674</v>
          </cell>
          <cell r="G83">
            <v>929</v>
          </cell>
          <cell r="H83">
            <v>37</v>
          </cell>
          <cell r="I83">
            <v>21762</v>
          </cell>
          <cell r="K83">
            <v>255</v>
          </cell>
          <cell r="M83" t="str">
            <v>DailyWellness</v>
          </cell>
          <cell r="N83">
            <v>0.12131237937689551</v>
          </cell>
        </row>
        <row r="84">
          <cell r="C84">
            <v>45603</v>
          </cell>
          <cell r="F84">
            <v>1121</v>
          </cell>
          <cell r="G84">
            <v>135</v>
          </cell>
          <cell r="H84">
            <v>18</v>
          </cell>
          <cell r="I84">
            <v>15694</v>
          </cell>
          <cell r="K84">
            <v>99</v>
          </cell>
          <cell r="M84" t="str">
            <v>DailyWellness</v>
          </cell>
          <cell r="N84">
            <v>8.1177520071364848E-2</v>
          </cell>
        </row>
        <row r="85">
          <cell r="C85">
            <v>45720</v>
          </cell>
          <cell r="F85">
            <v>1249</v>
          </cell>
          <cell r="G85">
            <v>116</v>
          </cell>
          <cell r="H85">
            <v>420</v>
          </cell>
          <cell r="I85">
            <v>8743</v>
          </cell>
          <cell r="K85">
            <v>63</v>
          </cell>
          <cell r="N85">
            <v>0.20416333066453163</v>
          </cell>
        </row>
        <row r="86">
          <cell r="C86">
            <v>45460</v>
          </cell>
          <cell r="F86">
            <v>954</v>
          </cell>
          <cell r="G86">
            <v>324</v>
          </cell>
          <cell r="H86">
            <v>288</v>
          </cell>
          <cell r="I86">
            <v>19080</v>
          </cell>
          <cell r="K86">
            <v>21</v>
          </cell>
          <cell r="M86" t="str">
            <v>DailyWellness</v>
          </cell>
          <cell r="N86">
            <v>8.2075471698113203E-2</v>
          </cell>
        </row>
        <row r="87">
          <cell r="C87">
            <v>45574</v>
          </cell>
          <cell r="F87">
            <v>3068</v>
          </cell>
          <cell r="G87">
            <v>137</v>
          </cell>
          <cell r="H87">
            <v>329</v>
          </cell>
          <cell r="I87">
            <v>39884</v>
          </cell>
          <cell r="K87">
            <v>266</v>
          </cell>
          <cell r="M87" t="str">
            <v>FestiveRadiance</v>
          </cell>
          <cell r="N87">
            <v>8.860696018453515E-2</v>
          </cell>
        </row>
        <row r="88">
          <cell r="C88">
            <v>45456</v>
          </cell>
          <cell r="F88">
            <v>2103</v>
          </cell>
          <cell r="G88">
            <v>892</v>
          </cell>
          <cell r="H88">
            <v>103</v>
          </cell>
          <cell r="I88">
            <v>39957</v>
          </cell>
          <cell r="K88">
            <v>28</v>
          </cell>
          <cell r="N88">
            <v>7.7533348349475686E-2</v>
          </cell>
        </row>
        <row r="89">
          <cell r="C89">
            <v>45584</v>
          </cell>
          <cell r="F89">
            <v>1816</v>
          </cell>
          <cell r="G89">
            <v>29</v>
          </cell>
          <cell r="H89">
            <v>41</v>
          </cell>
          <cell r="I89">
            <v>19976</v>
          </cell>
          <cell r="K89">
            <v>283</v>
          </cell>
          <cell r="M89" t="str">
            <v>NewYearRefresh</v>
          </cell>
          <cell r="N89">
            <v>9.4413295955146179E-2</v>
          </cell>
        </row>
        <row r="90">
          <cell r="C90">
            <v>45497</v>
          </cell>
          <cell r="F90">
            <v>725</v>
          </cell>
          <cell r="G90">
            <v>88</v>
          </cell>
          <cell r="H90">
            <v>428</v>
          </cell>
          <cell r="I90">
            <v>14500</v>
          </cell>
          <cell r="K90">
            <v>200</v>
          </cell>
          <cell r="M90" t="str">
            <v>NewYearRefresh</v>
          </cell>
          <cell r="N90">
            <v>8.558620689655172E-2</v>
          </cell>
        </row>
        <row r="91">
          <cell r="C91">
            <v>45497</v>
          </cell>
          <cell r="F91">
            <v>725</v>
          </cell>
          <cell r="G91">
            <v>88</v>
          </cell>
          <cell r="H91">
            <v>428</v>
          </cell>
          <cell r="I91">
            <v>14500</v>
          </cell>
          <cell r="K91">
            <v>200</v>
          </cell>
          <cell r="M91" t="str">
            <v>NewYearRefresh</v>
          </cell>
          <cell r="N91">
            <v>8.558620689655172E-2</v>
          </cell>
        </row>
        <row r="92">
          <cell r="C92">
            <v>45497</v>
          </cell>
          <cell r="F92">
            <v>725</v>
          </cell>
          <cell r="G92">
            <v>88</v>
          </cell>
          <cell r="H92">
            <v>428</v>
          </cell>
          <cell r="I92">
            <v>14500</v>
          </cell>
          <cell r="K92">
            <v>200</v>
          </cell>
          <cell r="M92" t="str">
            <v>NewYearRefresh</v>
          </cell>
          <cell r="N92">
            <v>8.558620689655172E-2</v>
          </cell>
        </row>
        <row r="93">
          <cell r="C93">
            <v>45580</v>
          </cell>
          <cell r="F93">
            <v>1094</v>
          </cell>
          <cell r="G93">
            <v>472</v>
          </cell>
          <cell r="H93">
            <v>21</v>
          </cell>
          <cell r="I93">
            <v>9846</v>
          </cell>
          <cell r="K93">
            <v>112</v>
          </cell>
          <cell r="N93">
            <v>0.16118220597196831</v>
          </cell>
        </row>
        <row r="94">
          <cell r="C94">
            <v>45635</v>
          </cell>
          <cell r="F94">
            <v>1841</v>
          </cell>
          <cell r="G94">
            <v>851</v>
          </cell>
          <cell r="H94">
            <v>342</v>
          </cell>
          <cell r="I94">
            <v>34979</v>
          </cell>
          <cell r="K94">
            <v>255</v>
          </cell>
          <cell r="M94" t="str">
            <v>DailyWellness</v>
          </cell>
          <cell r="N94">
            <v>8.6737756939878216E-2</v>
          </cell>
        </row>
        <row r="95">
          <cell r="C95">
            <v>45766</v>
          </cell>
          <cell r="F95">
            <v>4177</v>
          </cell>
          <cell r="G95">
            <v>569</v>
          </cell>
          <cell r="H95">
            <v>55</v>
          </cell>
          <cell r="I95">
            <v>25062</v>
          </cell>
          <cell r="K95">
            <v>230</v>
          </cell>
          <cell r="M95" t="str">
            <v>SummerSplash</v>
          </cell>
          <cell r="N95">
            <v>0.19156491900087783</v>
          </cell>
        </row>
        <row r="96">
          <cell r="C96">
            <v>45684</v>
          </cell>
          <cell r="F96">
            <v>3428</v>
          </cell>
          <cell r="G96">
            <v>305</v>
          </cell>
          <cell r="H96">
            <v>85</v>
          </cell>
          <cell r="I96">
            <v>58276</v>
          </cell>
          <cell r="K96">
            <v>242</v>
          </cell>
          <cell r="M96" t="str">
            <v>DailyWellness</v>
          </cell>
          <cell r="N96">
            <v>6.5515821264328367E-2</v>
          </cell>
        </row>
        <row r="97">
          <cell r="C97">
            <v>45684</v>
          </cell>
          <cell r="F97">
            <v>3428</v>
          </cell>
          <cell r="G97">
            <v>305</v>
          </cell>
          <cell r="H97">
            <v>85</v>
          </cell>
          <cell r="I97">
            <v>58276</v>
          </cell>
          <cell r="K97">
            <v>242</v>
          </cell>
          <cell r="M97" t="str">
            <v>DailyWellness</v>
          </cell>
          <cell r="N97">
            <v>6.5515821264328367E-2</v>
          </cell>
        </row>
        <row r="98">
          <cell r="C98">
            <v>45449</v>
          </cell>
          <cell r="F98">
            <v>1436</v>
          </cell>
          <cell r="G98">
            <v>765</v>
          </cell>
          <cell r="H98">
            <v>496</v>
          </cell>
          <cell r="I98">
            <v>12924</v>
          </cell>
          <cell r="K98">
            <v>197</v>
          </cell>
          <cell r="M98" t="str">
            <v>NewYearRefresh</v>
          </cell>
          <cell r="N98">
            <v>0.20868152274837512</v>
          </cell>
        </row>
        <row r="99">
          <cell r="C99">
            <v>45480</v>
          </cell>
          <cell r="F99">
            <v>302</v>
          </cell>
          <cell r="G99">
            <v>47</v>
          </cell>
          <cell r="H99">
            <v>430</v>
          </cell>
          <cell r="I99">
            <v>5738</v>
          </cell>
          <cell r="K99">
            <v>25</v>
          </cell>
          <cell r="M99" t="str">
            <v>DailyWellness</v>
          </cell>
          <cell r="N99">
            <v>0.13576158940397351</v>
          </cell>
        </row>
        <row r="100">
          <cell r="C100">
            <v>45667</v>
          </cell>
          <cell r="F100">
            <v>2214</v>
          </cell>
          <cell r="G100">
            <v>249</v>
          </cell>
          <cell r="H100">
            <v>152</v>
          </cell>
          <cell r="I100">
            <v>15498</v>
          </cell>
          <cell r="K100">
            <v>180</v>
          </cell>
          <cell r="N100">
            <v>0.16873144921925409</v>
          </cell>
        </row>
        <row r="101">
          <cell r="C101">
            <v>45446</v>
          </cell>
          <cell r="F101">
            <v>3861</v>
          </cell>
          <cell r="G101">
            <v>960</v>
          </cell>
          <cell r="H101">
            <v>101</v>
          </cell>
          <cell r="I101">
            <v>69498</v>
          </cell>
          <cell r="K101">
            <v>297</v>
          </cell>
          <cell r="M101" t="str">
            <v>DailyWellness</v>
          </cell>
          <cell r="N101">
            <v>7.0822181933293038E-2</v>
          </cell>
        </row>
        <row r="102">
          <cell r="C102">
            <v>45740</v>
          </cell>
          <cell r="F102">
            <v>1263</v>
          </cell>
          <cell r="G102">
            <v>397</v>
          </cell>
          <cell r="H102">
            <v>357</v>
          </cell>
          <cell r="I102">
            <v>25260</v>
          </cell>
          <cell r="K102">
            <v>137</v>
          </cell>
          <cell r="M102" t="str">
            <v>DailyWellness</v>
          </cell>
          <cell r="N102">
            <v>7.984956452889945E-2</v>
          </cell>
        </row>
        <row r="103">
          <cell r="C103">
            <v>45586</v>
          </cell>
          <cell r="F103">
            <v>3801</v>
          </cell>
          <cell r="G103">
            <v>967</v>
          </cell>
          <cell r="H103">
            <v>401</v>
          </cell>
          <cell r="I103">
            <v>38010</v>
          </cell>
          <cell r="K103">
            <v>236</v>
          </cell>
          <cell r="M103" t="str">
            <v>NewYearRefresh</v>
          </cell>
          <cell r="N103">
            <v>0.13599052880820836</v>
          </cell>
        </row>
        <row r="104">
          <cell r="C104">
            <v>45637</v>
          </cell>
          <cell r="F104">
            <v>1431</v>
          </cell>
          <cell r="G104">
            <v>951</v>
          </cell>
          <cell r="H104">
            <v>26</v>
          </cell>
          <cell r="I104">
            <v>8586</v>
          </cell>
          <cell r="K104">
            <v>150</v>
          </cell>
          <cell r="M104" t="str">
            <v>NewYearRefresh</v>
          </cell>
          <cell r="N104">
            <v>0.28045655718611695</v>
          </cell>
        </row>
        <row r="105">
          <cell r="C105">
            <v>45603</v>
          </cell>
          <cell r="F105">
            <v>2647</v>
          </cell>
          <cell r="G105">
            <v>304</v>
          </cell>
          <cell r="H105">
            <v>170</v>
          </cell>
          <cell r="I105">
            <v>18529</v>
          </cell>
          <cell r="K105">
            <v>46</v>
          </cell>
          <cell r="M105" t="str">
            <v>NewYearRefresh</v>
          </cell>
          <cell r="N105">
            <v>0.16843866371633656</v>
          </cell>
        </row>
        <row r="106">
          <cell r="C106">
            <v>45604</v>
          </cell>
          <cell r="F106">
            <v>3182</v>
          </cell>
          <cell r="G106">
            <v>559</v>
          </cell>
          <cell r="H106">
            <v>160</v>
          </cell>
          <cell r="I106">
            <v>57276</v>
          </cell>
          <cell r="K106">
            <v>163</v>
          </cell>
          <cell r="M106" t="str">
            <v>DailyWellness</v>
          </cell>
          <cell r="N106">
            <v>6.8108806480899509E-2</v>
          </cell>
        </row>
        <row r="107">
          <cell r="C107">
            <v>45545</v>
          </cell>
          <cell r="F107">
            <v>1238</v>
          </cell>
          <cell r="G107">
            <v>366</v>
          </cell>
          <cell r="H107">
            <v>444</v>
          </cell>
          <cell r="I107">
            <v>19808</v>
          </cell>
          <cell r="K107">
            <v>123</v>
          </cell>
          <cell r="N107">
            <v>0.10339256865912763</v>
          </cell>
        </row>
        <row r="108">
          <cell r="C108">
            <v>45517</v>
          </cell>
          <cell r="F108">
            <v>4739</v>
          </cell>
          <cell r="G108">
            <v>527</v>
          </cell>
          <cell r="H108">
            <v>135</v>
          </cell>
          <cell r="I108">
            <v>61607</v>
          </cell>
          <cell r="K108">
            <v>36</v>
          </cell>
          <cell r="M108" t="str">
            <v>FestiveRadiance</v>
          </cell>
          <cell r="N108">
            <v>8.7668609086629767E-2</v>
          </cell>
        </row>
        <row r="109">
          <cell r="C109">
            <v>45517</v>
          </cell>
          <cell r="F109">
            <v>4739</v>
          </cell>
          <cell r="G109">
            <v>527</v>
          </cell>
          <cell r="H109">
            <v>135</v>
          </cell>
          <cell r="I109">
            <v>61607</v>
          </cell>
          <cell r="K109">
            <v>36</v>
          </cell>
          <cell r="M109" t="str">
            <v>FestiveRadiance</v>
          </cell>
          <cell r="N109">
            <v>8.7668609086629767E-2</v>
          </cell>
        </row>
        <row r="110">
          <cell r="C110">
            <v>45453</v>
          </cell>
          <cell r="F110">
            <v>1575</v>
          </cell>
          <cell r="G110">
            <v>771</v>
          </cell>
          <cell r="H110">
            <v>486</v>
          </cell>
          <cell r="I110">
            <v>25200</v>
          </cell>
          <cell r="K110">
            <v>17</v>
          </cell>
          <cell r="M110" t="str">
            <v>DailyWellness</v>
          </cell>
          <cell r="N110">
            <v>0.11238095238095239</v>
          </cell>
        </row>
        <row r="111">
          <cell r="C111">
            <v>45475</v>
          </cell>
          <cell r="F111">
            <v>4171</v>
          </cell>
          <cell r="G111">
            <v>548</v>
          </cell>
          <cell r="H111">
            <v>86</v>
          </cell>
          <cell r="I111">
            <v>66736</v>
          </cell>
          <cell r="K111">
            <v>173</v>
          </cell>
          <cell r="M111" t="str">
            <v>NewYearRefresh</v>
          </cell>
          <cell r="N111">
            <v>7.2000119875329657E-2</v>
          </cell>
        </row>
        <row r="112">
          <cell r="C112">
            <v>45698</v>
          </cell>
          <cell r="F112">
            <v>1766</v>
          </cell>
          <cell r="G112">
            <v>92</v>
          </cell>
          <cell r="H112">
            <v>424</v>
          </cell>
          <cell r="I112">
            <v>24724</v>
          </cell>
          <cell r="K112">
            <v>52</v>
          </cell>
          <cell r="N112">
            <v>9.2298980747451867E-2</v>
          </cell>
        </row>
        <row r="113">
          <cell r="C113">
            <v>45583</v>
          </cell>
          <cell r="F113">
            <v>4450</v>
          </cell>
          <cell r="G113">
            <v>983</v>
          </cell>
          <cell r="H113">
            <v>143</v>
          </cell>
          <cell r="I113">
            <v>75650</v>
          </cell>
          <cell r="K113">
            <v>12</v>
          </cell>
          <cell r="M113" t="str">
            <v>NewYearRefresh</v>
          </cell>
          <cell r="N113">
            <v>7.3707865168539333E-2</v>
          </cell>
        </row>
        <row r="114">
          <cell r="C114">
            <v>45553</v>
          </cell>
          <cell r="F114">
            <v>1000</v>
          </cell>
          <cell r="G114">
            <v>978</v>
          </cell>
          <cell r="H114">
            <v>162</v>
          </cell>
          <cell r="I114">
            <v>6000</v>
          </cell>
          <cell r="K114">
            <v>223</v>
          </cell>
          <cell r="M114" t="str">
            <v>FestiveRadiance</v>
          </cell>
          <cell r="N114">
            <v>0.35666666666666669</v>
          </cell>
        </row>
        <row r="115">
          <cell r="C115">
            <v>45454</v>
          </cell>
          <cell r="F115">
            <v>3689</v>
          </cell>
          <cell r="G115">
            <v>48</v>
          </cell>
          <cell r="H115">
            <v>306</v>
          </cell>
          <cell r="I115">
            <v>40579</v>
          </cell>
          <cell r="K115">
            <v>212</v>
          </cell>
          <cell r="M115" t="str">
            <v>FestiveRadiance</v>
          </cell>
          <cell r="N115">
            <v>9.9632815002833983E-2</v>
          </cell>
        </row>
        <row r="116">
          <cell r="C116">
            <v>45739</v>
          </cell>
          <cell r="F116">
            <v>3655</v>
          </cell>
          <cell r="G116">
            <v>568</v>
          </cell>
          <cell r="H116">
            <v>286</v>
          </cell>
          <cell r="I116">
            <v>32895</v>
          </cell>
          <cell r="K116">
            <v>199</v>
          </cell>
          <cell r="M116" t="str">
            <v>NewYearRefresh</v>
          </cell>
          <cell r="N116">
            <v>0.13707250341997265</v>
          </cell>
        </row>
        <row r="117">
          <cell r="C117">
            <v>45457</v>
          </cell>
          <cell r="F117">
            <v>498</v>
          </cell>
          <cell r="G117">
            <v>38</v>
          </cell>
          <cell r="H117">
            <v>42</v>
          </cell>
          <cell r="I117">
            <v>4482</v>
          </cell>
          <cell r="K117">
            <v>32</v>
          </cell>
          <cell r="M117" t="str">
            <v>SummerSplash</v>
          </cell>
          <cell r="N117">
            <v>0.12896028558679162</v>
          </cell>
        </row>
        <row r="118">
          <cell r="C118">
            <v>45692</v>
          </cell>
          <cell r="F118">
            <v>4619</v>
          </cell>
          <cell r="G118">
            <v>821</v>
          </cell>
          <cell r="H118">
            <v>499</v>
          </cell>
          <cell r="I118">
            <v>69285</v>
          </cell>
          <cell r="K118">
            <v>298</v>
          </cell>
          <cell r="M118" t="str">
            <v>DailyWellness</v>
          </cell>
          <cell r="N118">
            <v>8.5718409468138843E-2</v>
          </cell>
        </row>
        <row r="119">
          <cell r="C119">
            <v>45464</v>
          </cell>
          <cell r="F119">
            <v>4832</v>
          </cell>
          <cell r="G119">
            <v>893</v>
          </cell>
          <cell r="H119">
            <v>10</v>
          </cell>
          <cell r="I119">
            <v>91808</v>
          </cell>
          <cell r="K119">
            <v>182</v>
          </cell>
          <cell r="N119">
            <v>6.2467323109097243E-2</v>
          </cell>
        </row>
        <row r="120">
          <cell r="C120">
            <v>45741</v>
          </cell>
          <cell r="F120">
            <v>4050</v>
          </cell>
          <cell r="G120">
            <v>871</v>
          </cell>
          <cell r="H120">
            <v>347</v>
          </cell>
          <cell r="I120">
            <v>52650</v>
          </cell>
          <cell r="K120">
            <v>209</v>
          </cell>
          <cell r="M120" t="str">
            <v>FestiveRadiance</v>
          </cell>
          <cell r="N120">
            <v>0.10005698005698006</v>
          </cell>
        </row>
        <row r="121">
          <cell r="C121">
            <v>45512</v>
          </cell>
          <cell r="F121">
            <v>3649</v>
          </cell>
          <cell r="G121">
            <v>215</v>
          </cell>
          <cell r="H121">
            <v>413</v>
          </cell>
          <cell r="I121">
            <v>25543</v>
          </cell>
          <cell r="K121">
            <v>167</v>
          </cell>
          <cell r="M121" t="str">
            <v>NewYearRefresh</v>
          </cell>
          <cell r="N121">
            <v>0.16744313510550835</v>
          </cell>
        </row>
        <row r="122">
          <cell r="C122">
            <v>45502</v>
          </cell>
          <cell r="F122">
            <v>3523</v>
          </cell>
          <cell r="G122">
            <v>753</v>
          </cell>
          <cell r="H122">
            <v>482</v>
          </cell>
          <cell r="I122">
            <v>38753</v>
          </cell>
          <cell r="K122">
            <v>270</v>
          </cell>
          <cell r="M122" t="str">
            <v>FestiveRadiance</v>
          </cell>
          <cell r="N122">
            <v>0.12277759141227776</v>
          </cell>
        </row>
        <row r="123">
          <cell r="C123">
            <v>45619</v>
          </cell>
          <cell r="F123">
            <v>2719</v>
          </cell>
          <cell r="G123">
            <v>17</v>
          </cell>
          <cell r="H123">
            <v>285</v>
          </cell>
          <cell r="I123">
            <v>40785</v>
          </cell>
          <cell r="K123">
            <v>40</v>
          </cell>
          <cell r="M123" t="str">
            <v>FestiveRadiance</v>
          </cell>
          <cell r="N123">
            <v>7.4071349760941527E-2</v>
          </cell>
        </row>
        <row r="124">
          <cell r="C124">
            <v>45570</v>
          </cell>
          <cell r="F124">
            <v>1957</v>
          </cell>
          <cell r="G124">
            <v>877</v>
          </cell>
          <cell r="H124">
            <v>238</v>
          </cell>
          <cell r="I124">
            <v>17613</v>
          </cell>
          <cell r="K124">
            <v>297</v>
          </cell>
          <cell r="M124" t="str">
            <v>NewYearRefresh</v>
          </cell>
          <cell r="N124">
            <v>0.17441662408448305</v>
          </cell>
        </row>
        <row r="125">
          <cell r="C125">
            <v>45567</v>
          </cell>
          <cell r="F125">
            <v>4419</v>
          </cell>
          <cell r="G125">
            <v>236</v>
          </cell>
          <cell r="H125">
            <v>369</v>
          </cell>
          <cell r="I125">
            <v>44190</v>
          </cell>
          <cell r="K125">
            <v>10</v>
          </cell>
          <cell r="M125" t="str">
            <v>SummerSplash</v>
          </cell>
          <cell r="N125">
            <v>0.11369088028965829</v>
          </cell>
        </row>
        <row r="126">
          <cell r="C126">
            <v>45610</v>
          </cell>
          <cell r="F126">
            <v>4000</v>
          </cell>
          <cell r="G126">
            <v>689</v>
          </cell>
          <cell r="H126">
            <v>488</v>
          </cell>
          <cell r="I126">
            <v>40000</v>
          </cell>
          <cell r="K126">
            <v>44</v>
          </cell>
          <cell r="M126" t="str">
            <v>SummerSplash</v>
          </cell>
          <cell r="N126">
            <v>0.12942500000000001</v>
          </cell>
        </row>
        <row r="127">
          <cell r="C127">
            <v>45788</v>
          </cell>
          <cell r="F127">
            <v>2493</v>
          </cell>
          <cell r="G127">
            <v>97</v>
          </cell>
          <cell r="H127">
            <v>44</v>
          </cell>
          <cell r="I127">
            <v>42381</v>
          </cell>
          <cell r="K127">
            <v>242</v>
          </cell>
          <cell r="M127" t="str">
            <v>DailyWellness</v>
          </cell>
          <cell r="N127">
            <v>6.2150491965739366E-2</v>
          </cell>
        </row>
        <row r="128">
          <cell r="C128">
            <v>45788</v>
          </cell>
          <cell r="F128">
            <v>2493</v>
          </cell>
          <cell r="G128">
            <v>97</v>
          </cell>
          <cell r="H128">
            <v>44</v>
          </cell>
          <cell r="I128">
            <v>42381</v>
          </cell>
          <cell r="K128">
            <v>242</v>
          </cell>
          <cell r="M128" t="str">
            <v>DailyWellness</v>
          </cell>
          <cell r="N128">
            <v>6.2150491965739366E-2</v>
          </cell>
        </row>
        <row r="129">
          <cell r="C129">
            <v>45734</v>
          </cell>
          <cell r="F129">
            <v>3704</v>
          </cell>
          <cell r="G129">
            <v>186</v>
          </cell>
          <cell r="H129">
            <v>458</v>
          </cell>
          <cell r="I129">
            <v>25928</v>
          </cell>
          <cell r="K129">
            <v>131</v>
          </cell>
          <cell r="N129">
            <v>0.16769515581610614</v>
          </cell>
        </row>
        <row r="130">
          <cell r="C130">
            <v>45600</v>
          </cell>
          <cell r="F130">
            <v>1606</v>
          </cell>
          <cell r="G130">
            <v>451</v>
          </cell>
          <cell r="H130">
            <v>405</v>
          </cell>
          <cell r="I130">
            <v>20878</v>
          </cell>
          <cell r="K130">
            <v>219</v>
          </cell>
          <cell r="M130" t="str">
            <v>DailyWellness</v>
          </cell>
          <cell r="N130">
            <v>0.11792317271769326</v>
          </cell>
        </row>
        <row r="131">
          <cell r="C131">
            <v>45600</v>
          </cell>
          <cell r="F131">
            <v>4551</v>
          </cell>
          <cell r="G131">
            <v>714</v>
          </cell>
          <cell r="H131">
            <v>207</v>
          </cell>
          <cell r="I131">
            <v>68265</v>
          </cell>
          <cell r="K131">
            <v>57</v>
          </cell>
          <cell r="M131" t="str">
            <v>NewYearRefresh</v>
          </cell>
          <cell r="N131">
            <v>8.0158206987475278E-2</v>
          </cell>
        </row>
        <row r="132">
          <cell r="C132">
            <v>45695</v>
          </cell>
          <cell r="F132">
            <v>1970</v>
          </cell>
          <cell r="G132">
            <v>675</v>
          </cell>
          <cell r="H132">
            <v>478</v>
          </cell>
          <cell r="I132">
            <v>9850</v>
          </cell>
          <cell r="K132">
            <v>117</v>
          </cell>
          <cell r="N132">
            <v>0.31705583756345179</v>
          </cell>
        </row>
        <row r="133">
          <cell r="C133">
            <v>45586</v>
          </cell>
          <cell r="F133">
            <v>780</v>
          </cell>
          <cell r="G133">
            <v>928</v>
          </cell>
          <cell r="H133">
            <v>301</v>
          </cell>
          <cell r="I133">
            <v>8580</v>
          </cell>
          <cell r="K133">
            <v>91</v>
          </cell>
          <cell r="M133" t="str">
            <v>NewYearRefresh</v>
          </cell>
          <cell r="N133">
            <v>0.23414918414918415</v>
          </cell>
        </row>
        <row r="134">
          <cell r="C134">
            <v>45502</v>
          </cell>
          <cell r="F134">
            <v>498</v>
          </cell>
          <cell r="G134">
            <v>701</v>
          </cell>
          <cell r="H134">
            <v>412</v>
          </cell>
          <cell r="I134">
            <v>4980</v>
          </cell>
          <cell r="K134">
            <v>185</v>
          </cell>
          <cell r="N134">
            <v>0.32349397590361445</v>
          </cell>
        </row>
        <row r="135">
          <cell r="C135">
            <v>45567</v>
          </cell>
          <cell r="F135">
            <v>3432</v>
          </cell>
          <cell r="G135">
            <v>869</v>
          </cell>
          <cell r="H135">
            <v>123</v>
          </cell>
          <cell r="I135">
            <v>54912</v>
          </cell>
          <cell r="K135">
            <v>264</v>
          </cell>
          <cell r="M135" t="str">
            <v>FestiveRadiance</v>
          </cell>
          <cell r="N135">
            <v>8.0565268065268064E-2</v>
          </cell>
        </row>
        <row r="136">
          <cell r="C136">
            <v>45457</v>
          </cell>
          <cell r="F136">
            <v>4363</v>
          </cell>
          <cell r="G136">
            <v>649</v>
          </cell>
          <cell r="H136">
            <v>140</v>
          </cell>
          <cell r="I136">
            <v>21815</v>
          </cell>
          <cell r="K136">
            <v>157</v>
          </cell>
          <cell r="M136" t="str">
            <v>SummerSplash</v>
          </cell>
          <cell r="N136">
            <v>0.23616777446710979</v>
          </cell>
        </row>
        <row r="137">
          <cell r="C137">
            <v>45753</v>
          </cell>
          <cell r="F137">
            <v>736</v>
          </cell>
          <cell r="G137">
            <v>771</v>
          </cell>
          <cell r="H137">
            <v>225</v>
          </cell>
          <cell r="I137">
            <v>5152</v>
          </cell>
          <cell r="K137">
            <v>19</v>
          </cell>
          <cell r="M137" t="str">
            <v>SummerSplash</v>
          </cell>
          <cell r="N137">
            <v>0.33618012422360249</v>
          </cell>
        </row>
        <row r="138">
          <cell r="C138">
            <v>45543</v>
          </cell>
          <cell r="F138">
            <v>3811</v>
          </cell>
          <cell r="G138">
            <v>866</v>
          </cell>
          <cell r="H138">
            <v>216</v>
          </cell>
          <cell r="I138">
            <v>34299</v>
          </cell>
          <cell r="K138">
            <v>233</v>
          </cell>
          <cell r="M138" t="str">
            <v>DailyWellness</v>
          </cell>
          <cell r="N138">
            <v>0.14265722032712325</v>
          </cell>
        </row>
        <row r="139">
          <cell r="C139">
            <v>45744</v>
          </cell>
          <cell r="F139">
            <v>4158</v>
          </cell>
          <cell r="G139">
            <v>167</v>
          </cell>
          <cell r="H139">
            <v>241</v>
          </cell>
          <cell r="I139">
            <v>45738</v>
          </cell>
          <cell r="K139">
            <v>142</v>
          </cell>
          <cell r="N139">
            <v>9.9829463465827106E-2</v>
          </cell>
        </row>
        <row r="140">
          <cell r="C140">
            <v>45684</v>
          </cell>
          <cell r="F140">
            <v>3452</v>
          </cell>
          <cell r="G140">
            <v>652</v>
          </cell>
          <cell r="H140">
            <v>442</v>
          </cell>
          <cell r="I140">
            <v>65588</v>
          </cell>
          <cell r="K140">
            <v>158</v>
          </cell>
          <cell r="M140" t="str">
            <v>NewYearRefresh</v>
          </cell>
          <cell r="N140">
            <v>6.9311459413307311E-2</v>
          </cell>
        </row>
        <row r="141">
          <cell r="C141">
            <v>45667</v>
          </cell>
          <cell r="F141">
            <v>3092</v>
          </cell>
          <cell r="G141">
            <v>106</v>
          </cell>
          <cell r="H141">
            <v>291</v>
          </cell>
          <cell r="I141">
            <v>27828</v>
          </cell>
          <cell r="K141">
            <v>102</v>
          </cell>
          <cell r="N141">
            <v>0.12537731780940059</v>
          </cell>
        </row>
        <row r="142">
          <cell r="C142">
            <v>45494</v>
          </cell>
          <cell r="F142">
            <v>2147</v>
          </cell>
          <cell r="G142">
            <v>430</v>
          </cell>
          <cell r="H142">
            <v>393</v>
          </cell>
          <cell r="I142">
            <v>17176</v>
          </cell>
          <cell r="K142">
            <v>170</v>
          </cell>
          <cell r="N142">
            <v>0.17291569632044715</v>
          </cell>
        </row>
        <row r="143">
          <cell r="C143">
            <v>45564</v>
          </cell>
          <cell r="F143">
            <v>2936</v>
          </cell>
          <cell r="G143">
            <v>439</v>
          </cell>
          <cell r="H143">
            <v>44</v>
          </cell>
          <cell r="I143">
            <v>38168</v>
          </cell>
          <cell r="K143">
            <v>22</v>
          </cell>
          <cell r="M143" t="str">
            <v>DailyWellness</v>
          </cell>
          <cell r="N143">
            <v>8.9577656675749323E-2</v>
          </cell>
        </row>
        <row r="144">
          <cell r="C144">
            <v>45586</v>
          </cell>
          <cell r="F144">
            <v>4840</v>
          </cell>
          <cell r="G144">
            <v>658</v>
          </cell>
          <cell r="H144">
            <v>211</v>
          </cell>
          <cell r="I144">
            <v>43560</v>
          </cell>
          <cell r="K144">
            <v>57</v>
          </cell>
          <cell r="M144" t="str">
            <v>NewYearRefresh</v>
          </cell>
          <cell r="N144">
            <v>0.13106060606060607</v>
          </cell>
        </row>
        <row r="145">
          <cell r="C145">
            <v>45720</v>
          </cell>
          <cell r="F145">
            <v>1947</v>
          </cell>
          <cell r="G145">
            <v>842</v>
          </cell>
          <cell r="H145">
            <v>101</v>
          </cell>
          <cell r="I145">
            <v>21417</v>
          </cell>
          <cell r="K145">
            <v>186</v>
          </cell>
          <cell r="M145" t="str">
            <v>FestiveRadiance</v>
          </cell>
          <cell r="N145">
            <v>0.13493953401503478</v>
          </cell>
        </row>
        <row r="146">
          <cell r="C146">
            <v>45694</v>
          </cell>
          <cell r="F146">
            <v>2072</v>
          </cell>
          <cell r="G146">
            <v>532</v>
          </cell>
          <cell r="H146">
            <v>71</v>
          </cell>
          <cell r="I146">
            <v>37296</v>
          </cell>
          <cell r="K146">
            <v>25</v>
          </cell>
          <cell r="M146" t="str">
            <v>DailyWellness</v>
          </cell>
          <cell r="N146">
            <v>7.172350922350923E-2</v>
          </cell>
        </row>
        <row r="147">
          <cell r="C147">
            <v>45771</v>
          </cell>
          <cell r="F147">
            <v>3731</v>
          </cell>
          <cell r="G147">
            <v>115</v>
          </cell>
          <cell r="H147">
            <v>135</v>
          </cell>
          <cell r="I147">
            <v>55965</v>
          </cell>
          <cell r="K147">
            <v>103</v>
          </cell>
          <cell r="M147" t="str">
            <v>SummerSplash</v>
          </cell>
          <cell r="N147">
            <v>7.1133744304476013E-2</v>
          </cell>
        </row>
        <row r="148">
          <cell r="C148">
            <v>45624</v>
          </cell>
          <cell r="F148">
            <v>4213</v>
          </cell>
          <cell r="G148">
            <v>253</v>
          </cell>
          <cell r="H148">
            <v>434</v>
          </cell>
          <cell r="I148">
            <v>75834</v>
          </cell>
          <cell r="K148">
            <v>272</v>
          </cell>
          <cell r="M148" t="str">
            <v>DailyWellness</v>
          </cell>
          <cell r="N148">
            <v>6.461481657304112E-2</v>
          </cell>
        </row>
        <row r="149">
          <cell r="C149">
            <v>45484</v>
          </cell>
          <cell r="F149">
            <v>3134</v>
          </cell>
          <cell r="G149">
            <v>888</v>
          </cell>
          <cell r="H149">
            <v>444</v>
          </cell>
          <cell r="I149">
            <v>21938</v>
          </cell>
          <cell r="K149">
            <v>130</v>
          </cell>
          <cell r="M149" t="str">
            <v>DailyWellness</v>
          </cell>
          <cell r="N149">
            <v>0.20357370772176134</v>
          </cell>
        </row>
        <row r="150">
          <cell r="C150">
            <v>45504</v>
          </cell>
          <cell r="F150">
            <v>3008</v>
          </cell>
          <cell r="G150">
            <v>94</v>
          </cell>
          <cell r="H150">
            <v>37</v>
          </cell>
          <cell r="I150">
            <v>15040</v>
          </cell>
          <cell r="K150">
            <v>277</v>
          </cell>
          <cell r="N150">
            <v>0.20871010638297871</v>
          </cell>
        </row>
        <row r="151">
          <cell r="C151">
            <v>45745</v>
          </cell>
          <cell r="F151">
            <v>305</v>
          </cell>
          <cell r="G151">
            <v>187</v>
          </cell>
          <cell r="H151">
            <v>243</v>
          </cell>
          <cell r="I151">
            <v>4575</v>
          </cell>
          <cell r="K151">
            <v>234</v>
          </cell>
          <cell r="M151" t="str">
            <v>NewYearRefresh</v>
          </cell>
          <cell r="N151">
            <v>0.16065573770491803</v>
          </cell>
        </row>
        <row r="152">
          <cell r="C152">
            <v>45594</v>
          </cell>
          <cell r="F152">
            <v>2746</v>
          </cell>
          <cell r="G152">
            <v>156</v>
          </cell>
          <cell r="H152">
            <v>203</v>
          </cell>
          <cell r="I152">
            <v>32952</v>
          </cell>
          <cell r="K152">
            <v>147</v>
          </cell>
          <cell r="M152" t="str">
            <v>SummerSplash</v>
          </cell>
          <cell r="N152">
            <v>9.422796795338674E-2</v>
          </cell>
        </row>
        <row r="153">
          <cell r="C153">
            <v>45488</v>
          </cell>
          <cell r="F153">
            <v>2291</v>
          </cell>
          <cell r="G153">
            <v>78</v>
          </cell>
          <cell r="H153">
            <v>485</v>
          </cell>
          <cell r="I153">
            <v>18328</v>
          </cell>
          <cell r="K153">
            <v>10</v>
          </cell>
          <cell r="M153" t="str">
            <v>FestiveRadiance</v>
          </cell>
          <cell r="N153">
            <v>0.15571802706241816</v>
          </cell>
        </row>
        <row r="154">
          <cell r="C154">
            <v>45488</v>
          </cell>
          <cell r="F154">
            <v>2291</v>
          </cell>
          <cell r="G154">
            <v>78</v>
          </cell>
          <cell r="H154">
            <v>485</v>
          </cell>
          <cell r="I154">
            <v>18328</v>
          </cell>
          <cell r="K154">
            <v>10</v>
          </cell>
          <cell r="M154" t="str">
            <v>FestiveRadiance</v>
          </cell>
          <cell r="N154">
            <v>0.15571802706241816</v>
          </cell>
        </row>
        <row r="155">
          <cell r="C155">
            <v>45535</v>
          </cell>
          <cell r="F155">
            <v>3170</v>
          </cell>
          <cell r="G155">
            <v>857</v>
          </cell>
          <cell r="H155">
            <v>379</v>
          </cell>
          <cell r="I155">
            <v>19020</v>
          </cell>
          <cell r="K155">
            <v>240</v>
          </cell>
          <cell r="N155">
            <v>0.2316508937960042</v>
          </cell>
        </row>
        <row r="156">
          <cell r="C156">
            <v>45741</v>
          </cell>
          <cell r="F156">
            <v>2070</v>
          </cell>
          <cell r="G156">
            <v>275</v>
          </cell>
          <cell r="H156">
            <v>386</v>
          </cell>
          <cell r="I156">
            <v>39330</v>
          </cell>
          <cell r="K156">
            <v>114</v>
          </cell>
          <cell r="M156" t="str">
            <v>DailyWellness</v>
          </cell>
          <cell r="N156">
            <v>6.9438087973557078E-2</v>
          </cell>
        </row>
        <row r="157">
          <cell r="C157">
            <v>45567</v>
          </cell>
          <cell r="F157">
            <v>80</v>
          </cell>
          <cell r="G157">
            <v>362</v>
          </cell>
          <cell r="H157">
            <v>80</v>
          </cell>
          <cell r="I157">
            <v>1040</v>
          </cell>
          <cell r="K157">
            <v>117</v>
          </cell>
          <cell r="M157" t="str">
            <v>NewYearRefresh</v>
          </cell>
          <cell r="N157">
            <v>0.50192307692307692</v>
          </cell>
        </row>
        <row r="158">
          <cell r="C158">
            <v>45593</v>
          </cell>
          <cell r="F158">
            <v>4929</v>
          </cell>
          <cell r="G158">
            <v>749</v>
          </cell>
          <cell r="H158">
            <v>452</v>
          </cell>
          <cell r="I158">
            <v>93651</v>
          </cell>
          <cell r="K158">
            <v>66</v>
          </cell>
          <cell r="M158" t="str">
            <v>DailyWellness</v>
          </cell>
          <cell r="N158">
            <v>6.5455787978772245E-2</v>
          </cell>
        </row>
        <row r="159">
          <cell r="C159">
            <v>45516</v>
          </cell>
          <cell r="F159">
            <v>1878</v>
          </cell>
          <cell r="G159">
            <v>62</v>
          </cell>
          <cell r="H159">
            <v>179</v>
          </cell>
          <cell r="I159">
            <v>37560</v>
          </cell>
          <cell r="K159">
            <v>142</v>
          </cell>
          <cell r="M159" t="str">
            <v>DailyWellness</v>
          </cell>
          <cell r="N159">
            <v>5.6416400425985093E-2</v>
          </cell>
        </row>
        <row r="160">
          <cell r="C160">
            <v>45448</v>
          </cell>
          <cell r="F160">
            <v>3065</v>
          </cell>
          <cell r="G160">
            <v>772</v>
          </cell>
          <cell r="H160">
            <v>142</v>
          </cell>
          <cell r="I160">
            <v>18390</v>
          </cell>
          <cell r="K160">
            <v>200</v>
          </cell>
          <cell r="N160">
            <v>0.21636759108210984</v>
          </cell>
        </row>
        <row r="161">
          <cell r="C161">
            <v>45448</v>
          </cell>
          <cell r="F161">
            <v>3065</v>
          </cell>
          <cell r="G161">
            <v>772</v>
          </cell>
          <cell r="H161">
            <v>142</v>
          </cell>
          <cell r="I161">
            <v>18390</v>
          </cell>
          <cell r="K161">
            <v>200</v>
          </cell>
          <cell r="N161">
            <v>0.21636759108210984</v>
          </cell>
        </row>
        <row r="162">
          <cell r="C162">
            <v>45586</v>
          </cell>
          <cell r="F162">
            <v>3256</v>
          </cell>
          <cell r="G162">
            <v>459</v>
          </cell>
          <cell r="H162">
            <v>266</v>
          </cell>
          <cell r="I162">
            <v>26048</v>
          </cell>
          <cell r="K162">
            <v>143</v>
          </cell>
          <cell r="M162" t="str">
            <v>FestiveRadiance</v>
          </cell>
          <cell r="N162">
            <v>0.15283323095823095</v>
          </cell>
        </row>
        <row r="163">
          <cell r="C163">
            <v>45762</v>
          </cell>
          <cell r="F163">
            <v>4133</v>
          </cell>
          <cell r="G163">
            <v>466</v>
          </cell>
          <cell r="H163">
            <v>327</v>
          </cell>
          <cell r="I163">
            <v>24798</v>
          </cell>
          <cell r="K163">
            <v>176</v>
          </cell>
          <cell r="M163" t="str">
            <v>DailyWellness</v>
          </cell>
          <cell r="N163">
            <v>0.19864505202032423</v>
          </cell>
        </row>
        <row r="164">
          <cell r="C164">
            <v>45459</v>
          </cell>
          <cell r="F164">
            <v>1702</v>
          </cell>
          <cell r="G164">
            <v>750</v>
          </cell>
          <cell r="H164">
            <v>179</v>
          </cell>
          <cell r="I164">
            <v>34040</v>
          </cell>
          <cell r="K164">
            <v>76</v>
          </cell>
          <cell r="M164" t="str">
            <v>SummerSplash</v>
          </cell>
          <cell r="N164">
            <v>7.7291421856639245E-2</v>
          </cell>
        </row>
        <row r="165">
          <cell r="C165">
            <v>45526</v>
          </cell>
          <cell r="F165">
            <v>4295</v>
          </cell>
          <cell r="G165">
            <v>853</v>
          </cell>
          <cell r="H165">
            <v>325</v>
          </cell>
          <cell r="I165">
            <v>85900</v>
          </cell>
          <cell r="K165">
            <v>290</v>
          </cell>
          <cell r="M165" t="str">
            <v>DailyWellness</v>
          </cell>
          <cell r="N165">
            <v>6.3713620488940623E-2</v>
          </cell>
        </row>
        <row r="166">
          <cell r="C166">
            <v>45499</v>
          </cell>
          <cell r="F166">
            <v>3559</v>
          </cell>
          <cell r="G166">
            <v>59</v>
          </cell>
          <cell r="H166">
            <v>289</v>
          </cell>
          <cell r="I166">
            <v>35590</v>
          </cell>
          <cell r="K166">
            <v>122</v>
          </cell>
          <cell r="M166" t="str">
            <v>SummerSplash</v>
          </cell>
          <cell r="N166">
            <v>0.10977802753582468</v>
          </cell>
        </row>
        <row r="167">
          <cell r="C167">
            <v>45769</v>
          </cell>
          <cell r="F167">
            <v>4804</v>
          </cell>
          <cell r="G167">
            <v>550</v>
          </cell>
          <cell r="H167">
            <v>270</v>
          </cell>
          <cell r="I167">
            <v>28824</v>
          </cell>
          <cell r="K167">
            <v>47</v>
          </cell>
          <cell r="M167" t="str">
            <v>DailyWellness</v>
          </cell>
          <cell r="N167">
            <v>0.19511518179295032</v>
          </cell>
        </row>
        <row r="168">
          <cell r="C168">
            <v>45658</v>
          </cell>
          <cell r="F168">
            <v>754</v>
          </cell>
          <cell r="G168">
            <v>197</v>
          </cell>
          <cell r="H168">
            <v>257</v>
          </cell>
          <cell r="I168">
            <v>6786</v>
          </cell>
          <cell r="K168">
            <v>212</v>
          </cell>
          <cell r="M168" t="str">
            <v>NewYearRefresh</v>
          </cell>
          <cell r="N168">
            <v>0.17801355732390214</v>
          </cell>
        </row>
        <row r="169">
          <cell r="C169">
            <v>45574</v>
          </cell>
          <cell r="F169">
            <v>985</v>
          </cell>
          <cell r="G169">
            <v>932</v>
          </cell>
          <cell r="H169">
            <v>287</v>
          </cell>
          <cell r="I169">
            <v>6895</v>
          </cell>
          <cell r="K169">
            <v>64</v>
          </cell>
          <cell r="M169" t="str">
            <v>DailyWellness</v>
          </cell>
          <cell r="N169">
            <v>0.31965192168237855</v>
          </cell>
        </row>
        <row r="170">
          <cell r="C170">
            <v>45647</v>
          </cell>
          <cell r="F170">
            <v>2283</v>
          </cell>
          <cell r="G170">
            <v>210</v>
          </cell>
          <cell r="H170">
            <v>130</v>
          </cell>
          <cell r="I170">
            <v>22830</v>
          </cell>
          <cell r="K170">
            <v>143</v>
          </cell>
          <cell r="M170" t="str">
            <v>FestiveRadiance</v>
          </cell>
          <cell r="N170">
            <v>0.11489268506351293</v>
          </cell>
        </row>
        <row r="171">
          <cell r="C171">
            <v>45587</v>
          </cell>
          <cell r="F171">
            <v>3352</v>
          </cell>
          <cell r="G171">
            <v>941</v>
          </cell>
          <cell r="H171">
            <v>482</v>
          </cell>
          <cell r="I171">
            <v>43576</v>
          </cell>
          <cell r="K171">
            <v>240</v>
          </cell>
          <cell r="M171" t="str">
            <v>FestiveRadiance</v>
          </cell>
          <cell r="N171">
            <v>0.1095786671562328</v>
          </cell>
        </row>
        <row r="172">
          <cell r="C172">
            <v>45496</v>
          </cell>
          <cell r="F172">
            <v>4775</v>
          </cell>
          <cell r="G172">
            <v>173</v>
          </cell>
          <cell r="H172">
            <v>206</v>
          </cell>
          <cell r="I172">
            <v>47750</v>
          </cell>
          <cell r="K172">
            <v>187</v>
          </cell>
          <cell r="M172" t="str">
            <v>FestiveRadiance</v>
          </cell>
          <cell r="N172">
            <v>0.10793717277486911</v>
          </cell>
        </row>
        <row r="173">
          <cell r="C173">
            <v>45515</v>
          </cell>
          <cell r="F173">
            <v>1762</v>
          </cell>
          <cell r="G173">
            <v>405</v>
          </cell>
          <cell r="H173">
            <v>423</v>
          </cell>
          <cell r="I173">
            <v>22906</v>
          </cell>
          <cell r="K173">
            <v>25</v>
          </cell>
          <cell r="M173" t="str">
            <v>SummerSplash</v>
          </cell>
          <cell r="N173">
            <v>0.11307081114118571</v>
          </cell>
        </row>
        <row r="174">
          <cell r="C174">
            <v>45621</v>
          </cell>
          <cell r="F174">
            <v>2120</v>
          </cell>
          <cell r="G174">
            <v>158</v>
          </cell>
          <cell r="H174">
            <v>488</v>
          </cell>
          <cell r="I174">
            <v>12720</v>
          </cell>
          <cell r="K174">
            <v>17</v>
          </cell>
          <cell r="M174" t="str">
            <v>FestiveRadiance</v>
          </cell>
          <cell r="N174">
            <v>0.21745283018867925</v>
          </cell>
        </row>
        <row r="175">
          <cell r="C175">
            <v>45528</v>
          </cell>
          <cell r="F175">
            <v>1082</v>
          </cell>
          <cell r="G175">
            <v>209</v>
          </cell>
          <cell r="H175">
            <v>484</v>
          </cell>
          <cell r="I175">
            <v>19476</v>
          </cell>
          <cell r="K175">
            <v>20</v>
          </cell>
          <cell r="N175">
            <v>9.1137810638734856E-2</v>
          </cell>
        </row>
        <row r="176">
          <cell r="C176">
            <v>45707</v>
          </cell>
          <cell r="F176">
            <v>4671</v>
          </cell>
          <cell r="G176">
            <v>876</v>
          </cell>
          <cell r="H176">
            <v>366</v>
          </cell>
          <cell r="I176">
            <v>51381</v>
          </cell>
          <cell r="K176">
            <v>245</v>
          </cell>
          <cell r="M176" t="str">
            <v>DailyWellness</v>
          </cell>
          <cell r="N176">
            <v>0.11508145034156594</v>
          </cell>
        </row>
        <row r="177">
          <cell r="C177">
            <v>45748</v>
          </cell>
          <cell r="F177">
            <v>3430</v>
          </cell>
          <cell r="G177">
            <v>566</v>
          </cell>
          <cell r="H177">
            <v>164</v>
          </cell>
          <cell r="I177">
            <v>48020</v>
          </cell>
          <cell r="K177">
            <v>120</v>
          </cell>
          <cell r="N177">
            <v>8.6630570595585168E-2</v>
          </cell>
        </row>
        <row r="178">
          <cell r="C178">
            <v>45755</v>
          </cell>
          <cell r="F178">
            <v>4501</v>
          </cell>
          <cell r="G178">
            <v>375</v>
          </cell>
          <cell r="H178">
            <v>323</v>
          </cell>
          <cell r="I178">
            <v>22505</v>
          </cell>
          <cell r="K178">
            <v>132</v>
          </cell>
          <cell r="M178" t="str">
            <v>FestiveRadiance</v>
          </cell>
          <cell r="N178">
            <v>0.23101532992668297</v>
          </cell>
        </row>
        <row r="179">
          <cell r="C179">
            <v>45715</v>
          </cell>
          <cell r="F179">
            <v>4934</v>
          </cell>
          <cell r="G179">
            <v>971</v>
          </cell>
          <cell r="H179">
            <v>156</v>
          </cell>
          <cell r="I179">
            <v>39472</v>
          </cell>
          <cell r="K179">
            <v>169</v>
          </cell>
          <cell r="M179" t="str">
            <v>DailyWellness</v>
          </cell>
          <cell r="N179">
            <v>0.15355188488042157</v>
          </cell>
        </row>
        <row r="180">
          <cell r="C180">
            <v>45715</v>
          </cell>
          <cell r="F180">
            <v>4934</v>
          </cell>
          <cell r="G180">
            <v>971</v>
          </cell>
          <cell r="H180">
            <v>156</v>
          </cell>
          <cell r="I180">
            <v>39472</v>
          </cell>
          <cell r="K180">
            <v>169</v>
          </cell>
          <cell r="M180" t="str">
            <v>DailyWellness</v>
          </cell>
          <cell r="N180">
            <v>0.15355188488042157</v>
          </cell>
        </row>
        <row r="181">
          <cell r="C181">
            <v>45637</v>
          </cell>
          <cell r="F181">
            <v>3239</v>
          </cell>
          <cell r="G181">
            <v>43</v>
          </cell>
          <cell r="H181">
            <v>211</v>
          </cell>
          <cell r="I181">
            <v>22673</v>
          </cell>
          <cell r="K181">
            <v>230</v>
          </cell>
          <cell r="M181" t="str">
            <v>FestiveRadiance</v>
          </cell>
          <cell r="N181">
            <v>0.15405989502933004</v>
          </cell>
        </row>
        <row r="182">
          <cell r="C182">
            <v>45704</v>
          </cell>
          <cell r="F182">
            <v>1076</v>
          </cell>
          <cell r="G182">
            <v>313</v>
          </cell>
          <cell r="H182">
            <v>306</v>
          </cell>
          <cell r="I182">
            <v>11836</v>
          </cell>
          <cell r="K182">
            <v>104</v>
          </cell>
          <cell r="M182" t="str">
            <v>SummerSplash</v>
          </cell>
          <cell r="N182">
            <v>0.14320716458262928</v>
          </cell>
        </row>
        <row r="183">
          <cell r="C183">
            <v>45624</v>
          </cell>
          <cell r="F183">
            <v>4771</v>
          </cell>
          <cell r="G183">
            <v>818</v>
          </cell>
          <cell r="H183">
            <v>56</v>
          </cell>
          <cell r="I183">
            <v>57252</v>
          </cell>
          <cell r="K183">
            <v>150</v>
          </cell>
          <cell r="N183">
            <v>9.859917557465242E-2</v>
          </cell>
        </row>
        <row r="184">
          <cell r="C184">
            <v>45608</v>
          </cell>
          <cell r="F184">
            <v>2418</v>
          </cell>
          <cell r="G184">
            <v>754</v>
          </cell>
          <cell r="H184">
            <v>54</v>
          </cell>
          <cell r="I184">
            <v>43524</v>
          </cell>
          <cell r="K184">
            <v>182</v>
          </cell>
          <cell r="M184" t="str">
            <v>SummerSplash</v>
          </cell>
          <cell r="N184">
            <v>7.412002573292896E-2</v>
          </cell>
        </row>
        <row r="185">
          <cell r="C185">
            <v>45629</v>
          </cell>
          <cell r="F185">
            <v>3809</v>
          </cell>
          <cell r="G185">
            <v>273</v>
          </cell>
          <cell r="H185">
            <v>200</v>
          </cell>
          <cell r="I185">
            <v>34281</v>
          </cell>
          <cell r="K185">
            <v>83</v>
          </cell>
          <cell r="M185" t="str">
            <v>SummerSplash</v>
          </cell>
          <cell r="N185">
            <v>0.12490884163239112</v>
          </cell>
        </row>
        <row r="186">
          <cell r="C186">
            <v>45775</v>
          </cell>
          <cell r="F186">
            <v>3577</v>
          </cell>
          <cell r="G186">
            <v>596</v>
          </cell>
          <cell r="H186">
            <v>493</v>
          </cell>
          <cell r="I186">
            <v>67963</v>
          </cell>
          <cell r="K186">
            <v>53</v>
          </cell>
          <cell r="M186" t="str">
            <v>NewYearRefresh</v>
          </cell>
          <cell r="N186">
            <v>6.8655003457763777E-2</v>
          </cell>
        </row>
        <row r="187">
          <cell r="C187">
            <v>45657</v>
          </cell>
          <cell r="F187">
            <v>1018</v>
          </cell>
          <cell r="G187">
            <v>447</v>
          </cell>
          <cell r="H187">
            <v>332</v>
          </cell>
          <cell r="I187">
            <v>18324</v>
          </cell>
          <cell r="K187">
            <v>38</v>
          </cell>
          <cell r="M187" t="str">
            <v>FestiveRadiance</v>
          </cell>
          <cell r="N187">
            <v>9.8068107400130972E-2</v>
          </cell>
        </row>
        <row r="188">
          <cell r="C188">
            <v>45518</v>
          </cell>
          <cell r="F188">
            <v>3073</v>
          </cell>
          <cell r="G188">
            <v>553</v>
          </cell>
          <cell r="H188">
            <v>174</v>
          </cell>
          <cell r="I188">
            <v>52241</v>
          </cell>
          <cell r="K188">
            <v>246</v>
          </cell>
          <cell r="M188" t="str">
            <v>NewYearRefresh</v>
          </cell>
          <cell r="N188">
            <v>7.2739802071170159E-2</v>
          </cell>
        </row>
        <row r="189">
          <cell r="C189">
            <v>45631</v>
          </cell>
          <cell r="F189">
            <v>1330</v>
          </cell>
          <cell r="G189">
            <v>925</v>
          </cell>
          <cell r="H189">
            <v>35</v>
          </cell>
          <cell r="I189">
            <v>15960</v>
          </cell>
          <cell r="K189">
            <v>229</v>
          </cell>
          <cell r="M189" t="str">
            <v>NewYearRefresh</v>
          </cell>
          <cell r="N189">
            <v>0.14348370927318296</v>
          </cell>
        </row>
        <row r="190">
          <cell r="C190">
            <v>45465</v>
          </cell>
          <cell r="F190">
            <v>3828</v>
          </cell>
          <cell r="G190">
            <v>148</v>
          </cell>
          <cell r="H190">
            <v>253</v>
          </cell>
          <cell r="I190">
            <v>30624</v>
          </cell>
          <cell r="K190">
            <v>235</v>
          </cell>
          <cell r="N190">
            <v>0.13809430512016718</v>
          </cell>
        </row>
        <row r="191">
          <cell r="C191">
            <v>45674</v>
          </cell>
          <cell r="F191">
            <v>142</v>
          </cell>
          <cell r="G191">
            <v>784</v>
          </cell>
          <cell r="H191">
            <v>183</v>
          </cell>
          <cell r="I191">
            <v>1704</v>
          </cell>
          <cell r="K191">
            <v>154</v>
          </cell>
          <cell r="M191" t="str">
            <v>DailyWellness</v>
          </cell>
          <cell r="N191">
            <v>0.6508215962441315</v>
          </cell>
        </row>
        <row r="192">
          <cell r="C192">
            <v>45463</v>
          </cell>
          <cell r="F192">
            <v>3798</v>
          </cell>
          <cell r="G192">
            <v>31</v>
          </cell>
          <cell r="H192">
            <v>279</v>
          </cell>
          <cell r="I192">
            <v>75960</v>
          </cell>
          <cell r="K192">
            <v>266</v>
          </cell>
          <cell r="M192" t="str">
            <v>SummerSplash</v>
          </cell>
          <cell r="N192">
            <v>5.4081095313322801E-2</v>
          </cell>
        </row>
        <row r="193">
          <cell r="C193">
            <v>45483</v>
          </cell>
          <cell r="F193">
            <v>3099</v>
          </cell>
          <cell r="G193">
            <v>694</v>
          </cell>
          <cell r="H193">
            <v>171</v>
          </cell>
          <cell r="I193">
            <v>43386</v>
          </cell>
          <cell r="K193">
            <v>52</v>
          </cell>
          <cell r="M193" t="str">
            <v>NewYearRefresh</v>
          </cell>
          <cell r="N193">
            <v>9.1365878393951966E-2</v>
          </cell>
        </row>
        <row r="194">
          <cell r="C194">
            <v>45603</v>
          </cell>
          <cell r="F194">
            <v>129</v>
          </cell>
          <cell r="G194">
            <v>643</v>
          </cell>
          <cell r="H194">
            <v>136</v>
          </cell>
          <cell r="I194">
            <v>1290</v>
          </cell>
          <cell r="K194">
            <v>238</v>
          </cell>
          <cell r="M194" t="str">
            <v>DailyWellness</v>
          </cell>
          <cell r="N194">
            <v>0.70387596899224802</v>
          </cell>
        </row>
        <row r="195">
          <cell r="C195">
            <v>45488</v>
          </cell>
          <cell r="F195">
            <v>3796</v>
          </cell>
          <cell r="G195">
            <v>667</v>
          </cell>
          <cell r="H195">
            <v>395</v>
          </cell>
          <cell r="I195">
            <v>64532</v>
          </cell>
          <cell r="K195">
            <v>292</v>
          </cell>
          <cell r="N195">
            <v>7.5280481001673588E-2</v>
          </cell>
        </row>
        <row r="196">
          <cell r="C196">
            <v>45629</v>
          </cell>
          <cell r="F196">
            <v>3711</v>
          </cell>
          <cell r="G196">
            <v>352</v>
          </cell>
          <cell r="H196">
            <v>290</v>
          </cell>
          <cell r="I196">
            <v>48243</v>
          </cell>
          <cell r="K196">
            <v>11</v>
          </cell>
          <cell r="M196" t="str">
            <v>SummerSplash</v>
          </cell>
          <cell r="N196">
            <v>9.023070704558174E-2</v>
          </cell>
        </row>
        <row r="197">
          <cell r="C197">
            <v>45737</v>
          </cell>
          <cell r="F197">
            <v>606</v>
          </cell>
          <cell r="G197">
            <v>789</v>
          </cell>
          <cell r="H197">
            <v>470</v>
          </cell>
          <cell r="I197">
            <v>7878</v>
          </cell>
          <cell r="K197">
            <v>239</v>
          </cell>
          <cell r="M197" t="str">
            <v>NewYearRefresh</v>
          </cell>
          <cell r="N197">
            <v>0.23673521198273673</v>
          </cell>
        </row>
        <row r="198">
          <cell r="C198">
            <v>45504</v>
          </cell>
          <cell r="F198">
            <v>4689</v>
          </cell>
          <cell r="G198">
            <v>134</v>
          </cell>
          <cell r="H198">
            <v>403</v>
          </cell>
          <cell r="I198">
            <v>51579</v>
          </cell>
          <cell r="K198">
            <v>173</v>
          </cell>
          <cell r="M198" t="str">
            <v>DailyWellness</v>
          </cell>
          <cell r="N198">
            <v>0.10132030477519921</v>
          </cell>
        </row>
        <row r="199">
          <cell r="C199">
            <v>45643</v>
          </cell>
          <cell r="F199">
            <v>360</v>
          </cell>
          <cell r="G199">
            <v>590</v>
          </cell>
          <cell r="H199">
            <v>393</v>
          </cell>
          <cell r="I199">
            <v>4680</v>
          </cell>
          <cell r="K199">
            <v>208</v>
          </cell>
          <cell r="M199" t="str">
            <v>FestiveRadiance</v>
          </cell>
          <cell r="N199">
            <v>0.28696581196581195</v>
          </cell>
        </row>
        <row r="200">
          <cell r="C200">
            <v>45501</v>
          </cell>
          <cell r="F200">
            <v>3215</v>
          </cell>
          <cell r="G200">
            <v>960</v>
          </cell>
          <cell r="H200">
            <v>202</v>
          </cell>
          <cell r="I200">
            <v>32150</v>
          </cell>
          <cell r="K200">
            <v>251</v>
          </cell>
          <cell r="M200" t="str">
            <v>SummerSplash</v>
          </cell>
          <cell r="N200">
            <v>0.13614307931570763</v>
          </cell>
        </row>
        <row r="201">
          <cell r="C201">
            <v>45668</v>
          </cell>
          <cell r="F201">
            <v>4523</v>
          </cell>
          <cell r="G201">
            <v>61</v>
          </cell>
          <cell r="H201">
            <v>157</v>
          </cell>
          <cell r="I201">
            <v>49753</v>
          </cell>
          <cell r="K201">
            <v>71</v>
          </cell>
          <cell r="N201">
            <v>9.5290736237010829E-2</v>
          </cell>
        </row>
        <row r="202">
          <cell r="C202">
            <v>45528</v>
          </cell>
          <cell r="F202">
            <v>4292</v>
          </cell>
          <cell r="G202">
            <v>51</v>
          </cell>
          <cell r="H202">
            <v>392</v>
          </cell>
          <cell r="I202">
            <v>55796</v>
          </cell>
          <cell r="K202">
            <v>264</v>
          </cell>
          <cell r="M202" t="str">
            <v>NewYearRefresh</v>
          </cell>
          <cell r="N202">
            <v>8.4862714173059003E-2</v>
          </cell>
        </row>
        <row r="203">
          <cell r="C203">
            <v>45648</v>
          </cell>
          <cell r="F203">
            <v>1644</v>
          </cell>
          <cell r="G203">
            <v>546</v>
          </cell>
          <cell r="H203">
            <v>150</v>
          </cell>
          <cell r="I203">
            <v>27948</v>
          </cell>
          <cell r="K203">
            <v>300</v>
          </cell>
          <cell r="M203" t="str">
            <v>NewYearRefresh</v>
          </cell>
          <cell r="N203">
            <v>8.3726921425504502E-2</v>
          </cell>
        </row>
        <row r="204">
          <cell r="C204">
            <v>45449</v>
          </cell>
          <cell r="F204">
            <v>2728</v>
          </cell>
          <cell r="G204">
            <v>533</v>
          </cell>
          <cell r="H204">
            <v>215</v>
          </cell>
          <cell r="I204">
            <v>40920</v>
          </cell>
          <cell r="K204">
            <v>137</v>
          </cell>
          <cell r="M204" t="str">
            <v>FestiveRadiance</v>
          </cell>
          <cell r="N204">
            <v>8.4946236559139784E-2</v>
          </cell>
        </row>
        <row r="205">
          <cell r="C205">
            <v>45740</v>
          </cell>
          <cell r="F205">
            <v>3360</v>
          </cell>
          <cell r="G205">
            <v>525</v>
          </cell>
          <cell r="H205">
            <v>500</v>
          </cell>
          <cell r="I205">
            <v>60480</v>
          </cell>
          <cell r="K205">
            <v>192</v>
          </cell>
          <cell r="M205" t="str">
            <v>SummerSplash</v>
          </cell>
          <cell r="N205">
            <v>7.2503306878306875E-2</v>
          </cell>
        </row>
        <row r="206">
          <cell r="C206">
            <v>45569</v>
          </cell>
          <cell r="F206">
            <v>1963</v>
          </cell>
          <cell r="G206">
            <v>213</v>
          </cell>
          <cell r="H206">
            <v>19</v>
          </cell>
          <cell r="I206">
            <v>39260</v>
          </cell>
          <cell r="K206">
            <v>145</v>
          </cell>
          <cell r="N206">
            <v>5.5909322465613857E-2</v>
          </cell>
        </row>
        <row r="207">
          <cell r="C207">
            <v>45629</v>
          </cell>
          <cell r="F207">
            <v>4285</v>
          </cell>
          <cell r="G207">
            <v>886</v>
          </cell>
          <cell r="H207">
            <v>376</v>
          </cell>
          <cell r="I207">
            <v>55705</v>
          </cell>
          <cell r="K207">
            <v>51</v>
          </cell>
          <cell r="M207" t="str">
            <v>NewYearRefresh</v>
          </cell>
          <cell r="N207">
            <v>9.9578134817341346E-2</v>
          </cell>
        </row>
        <row r="208">
          <cell r="C208">
            <v>45625</v>
          </cell>
          <cell r="F208">
            <v>1176</v>
          </cell>
          <cell r="G208">
            <v>464</v>
          </cell>
          <cell r="H208">
            <v>394</v>
          </cell>
          <cell r="I208">
            <v>14112</v>
          </cell>
          <cell r="K208">
            <v>272</v>
          </cell>
          <cell r="N208">
            <v>0.1441326530612245</v>
          </cell>
        </row>
        <row r="209">
          <cell r="C209">
            <v>45546</v>
          </cell>
          <cell r="F209">
            <v>4858</v>
          </cell>
          <cell r="G209">
            <v>317</v>
          </cell>
          <cell r="H209">
            <v>129</v>
          </cell>
          <cell r="I209">
            <v>53438</v>
          </cell>
          <cell r="K209">
            <v>223</v>
          </cell>
          <cell r="M209" t="str">
            <v>NewYearRefresh</v>
          </cell>
          <cell r="N209">
            <v>9.9255211647142488E-2</v>
          </cell>
        </row>
        <row r="210">
          <cell r="C210">
            <v>45567</v>
          </cell>
          <cell r="F210">
            <v>4350</v>
          </cell>
          <cell r="G210">
            <v>771</v>
          </cell>
          <cell r="H210">
            <v>7</v>
          </cell>
          <cell r="I210">
            <v>60900</v>
          </cell>
          <cell r="K210">
            <v>195</v>
          </cell>
          <cell r="M210" t="str">
            <v>SummerSplash</v>
          </cell>
          <cell r="N210">
            <v>8.4203612479474554E-2</v>
          </cell>
        </row>
        <row r="211">
          <cell r="C211">
            <v>45519</v>
          </cell>
          <cell r="F211">
            <v>914</v>
          </cell>
          <cell r="G211">
            <v>464</v>
          </cell>
          <cell r="H211">
            <v>246</v>
          </cell>
          <cell r="I211">
            <v>11882</v>
          </cell>
          <cell r="K211">
            <v>282</v>
          </cell>
          <cell r="M211" t="str">
            <v>DailyWellness</v>
          </cell>
          <cell r="N211">
            <v>0.13667732704931829</v>
          </cell>
        </row>
        <row r="212">
          <cell r="C212">
            <v>45519</v>
          </cell>
          <cell r="F212">
            <v>914</v>
          </cell>
          <cell r="G212">
            <v>464</v>
          </cell>
          <cell r="H212">
            <v>246</v>
          </cell>
          <cell r="I212">
            <v>11882</v>
          </cell>
          <cell r="K212">
            <v>282</v>
          </cell>
          <cell r="M212" t="str">
            <v>DailyWellness</v>
          </cell>
          <cell r="N212">
            <v>0.13667732704931829</v>
          </cell>
        </row>
        <row r="213">
          <cell r="C213">
            <v>45519</v>
          </cell>
          <cell r="F213">
            <v>914</v>
          </cell>
          <cell r="G213">
            <v>464</v>
          </cell>
          <cell r="H213">
            <v>246</v>
          </cell>
          <cell r="I213">
            <v>11882</v>
          </cell>
          <cell r="K213">
            <v>282</v>
          </cell>
          <cell r="M213" t="str">
            <v>DailyWellness</v>
          </cell>
          <cell r="N213">
            <v>0.13667732704931829</v>
          </cell>
        </row>
        <row r="214">
          <cell r="C214">
            <v>45645</v>
          </cell>
          <cell r="F214">
            <v>1813</v>
          </cell>
          <cell r="G214">
            <v>623</v>
          </cell>
          <cell r="H214">
            <v>72</v>
          </cell>
          <cell r="I214">
            <v>19943</v>
          </cell>
          <cell r="K214">
            <v>85</v>
          </cell>
          <cell r="M214" t="str">
            <v>NewYearRefresh</v>
          </cell>
          <cell r="N214">
            <v>0.12575841147269717</v>
          </cell>
        </row>
        <row r="215">
          <cell r="C215">
            <v>45587</v>
          </cell>
          <cell r="F215">
            <v>4782</v>
          </cell>
          <cell r="G215">
            <v>721</v>
          </cell>
          <cell r="H215">
            <v>82</v>
          </cell>
          <cell r="I215">
            <v>86076</v>
          </cell>
          <cell r="K215">
            <v>19</v>
          </cell>
          <cell r="M215" t="str">
            <v>SummerSplash</v>
          </cell>
          <cell r="N215">
            <v>6.4884520656164318E-2</v>
          </cell>
        </row>
        <row r="216">
          <cell r="C216">
            <v>45549</v>
          </cell>
          <cell r="F216">
            <v>1048</v>
          </cell>
          <cell r="G216">
            <v>374</v>
          </cell>
          <cell r="H216">
            <v>450</v>
          </cell>
          <cell r="I216">
            <v>9432</v>
          </cell>
          <cell r="K216">
            <v>158</v>
          </cell>
          <cell r="M216" t="str">
            <v>NewYearRefresh</v>
          </cell>
          <cell r="N216">
            <v>0.19847328244274809</v>
          </cell>
        </row>
        <row r="217">
          <cell r="C217">
            <v>45626</v>
          </cell>
          <cell r="F217">
            <v>2509</v>
          </cell>
          <cell r="G217">
            <v>324</v>
          </cell>
          <cell r="H217">
            <v>171</v>
          </cell>
          <cell r="I217">
            <v>35126</v>
          </cell>
          <cell r="K217">
            <v>277</v>
          </cell>
          <cell r="M217" t="str">
            <v>FestiveRadiance</v>
          </cell>
          <cell r="N217">
            <v>8.5520696919660646E-2</v>
          </cell>
        </row>
        <row r="218">
          <cell r="C218">
            <v>45754</v>
          </cell>
          <cell r="F218">
            <v>3718</v>
          </cell>
          <cell r="G218">
            <v>385</v>
          </cell>
          <cell r="H218">
            <v>310</v>
          </cell>
          <cell r="I218">
            <v>70642</v>
          </cell>
          <cell r="K218">
            <v>233</v>
          </cell>
          <cell r="M218" t="str">
            <v>FestiveRadiance</v>
          </cell>
          <cell r="N218">
            <v>6.246991874522239E-2</v>
          </cell>
        </row>
        <row r="219">
          <cell r="C219">
            <v>45672</v>
          </cell>
          <cell r="F219">
            <v>802</v>
          </cell>
          <cell r="G219">
            <v>262</v>
          </cell>
          <cell r="H219">
            <v>244</v>
          </cell>
          <cell r="I219">
            <v>14436</v>
          </cell>
          <cell r="K219">
            <v>49</v>
          </cell>
          <cell r="M219" t="str">
            <v>SummerSplash</v>
          </cell>
          <cell r="N219">
            <v>9.0606816292601824E-2</v>
          </cell>
        </row>
        <row r="220">
          <cell r="C220">
            <v>45445</v>
          </cell>
          <cell r="F220">
            <v>1871</v>
          </cell>
          <cell r="G220">
            <v>252</v>
          </cell>
          <cell r="H220">
            <v>335</v>
          </cell>
          <cell r="I220">
            <v>29936</v>
          </cell>
          <cell r="K220">
            <v>288</v>
          </cell>
          <cell r="M220" t="str">
            <v>NewYearRefresh</v>
          </cell>
          <cell r="N220">
            <v>8.2108498129342594E-2</v>
          </cell>
        </row>
        <row r="221">
          <cell r="C221">
            <v>45617</v>
          </cell>
          <cell r="F221">
            <v>3773</v>
          </cell>
          <cell r="G221">
            <v>299</v>
          </cell>
          <cell r="H221">
            <v>38</v>
          </cell>
          <cell r="I221">
            <v>71687</v>
          </cell>
          <cell r="K221">
            <v>286</v>
          </cell>
          <cell r="M221" t="str">
            <v>SummerSplash</v>
          </cell>
          <cell r="N221">
            <v>5.7332570758993957E-2</v>
          </cell>
        </row>
        <row r="222">
          <cell r="C222">
            <v>45658</v>
          </cell>
          <cell r="F222">
            <v>2234</v>
          </cell>
          <cell r="G222">
            <v>653</v>
          </cell>
          <cell r="H222">
            <v>432</v>
          </cell>
          <cell r="I222">
            <v>11170</v>
          </cell>
          <cell r="K222">
            <v>198</v>
          </cell>
          <cell r="M222" t="str">
            <v>NewYearRefresh</v>
          </cell>
          <cell r="N222">
            <v>0.29713518352730528</v>
          </cell>
        </row>
        <row r="223">
          <cell r="C223">
            <v>45771</v>
          </cell>
          <cell r="F223">
            <v>3820</v>
          </cell>
          <cell r="G223">
            <v>697</v>
          </cell>
          <cell r="H223">
            <v>268</v>
          </cell>
          <cell r="I223">
            <v>45840</v>
          </cell>
          <cell r="K223">
            <v>171</v>
          </cell>
          <cell r="M223" t="str">
            <v>DailyWellness</v>
          </cell>
          <cell r="N223">
            <v>0.1043848167539267</v>
          </cell>
        </row>
        <row r="224">
          <cell r="C224">
            <v>45771</v>
          </cell>
          <cell r="F224">
            <v>3820</v>
          </cell>
          <cell r="G224">
            <v>697</v>
          </cell>
          <cell r="H224">
            <v>268</v>
          </cell>
          <cell r="I224">
            <v>45840</v>
          </cell>
          <cell r="K224">
            <v>171</v>
          </cell>
          <cell r="M224" t="str">
            <v>DailyWellness</v>
          </cell>
          <cell r="N224">
            <v>0.1043848167539267</v>
          </cell>
        </row>
        <row r="225">
          <cell r="C225">
            <v>45467</v>
          </cell>
          <cell r="F225">
            <v>941</v>
          </cell>
          <cell r="G225">
            <v>121</v>
          </cell>
          <cell r="H225">
            <v>458</v>
          </cell>
          <cell r="I225">
            <v>14115</v>
          </cell>
          <cell r="K225">
            <v>87</v>
          </cell>
          <cell r="M225" t="str">
            <v>SummerSplash</v>
          </cell>
          <cell r="N225">
            <v>0.10768685795253277</v>
          </cell>
        </row>
        <row r="226">
          <cell r="C226">
            <v>45655</v>
          </cell>
          <cell r="F226">
            <v>4274</v>
          </cell>
          <cell r="G226">
            <v>340</v>
          </cell>
          <cell r="H226">
            <v>281</v>
          </cell>
          <cell r="I226">
            <v>34192</v>
          </cell>
          <cell r="K226">
            <v>129</v>
          </cell>
          <cell r="M226" t="str">
            <v>NewYearRefresh</v>
          </cell>
          <cell r="N226">
            <v>0.14316214319138981</v>
          </cell>
        </row>
        <row r="227">
          <cell r="C227">
            <v>45655</v>
          </cell>
          <cell r="F227">
            <v>4274</v>
          </cell>
          <cell r="G227">
            <v>340</v>
          </cell>
          <cell r="H227">
            <v>281</v>
          </cell>
          <cell r="I227">
            <v>34192</v>
          </cell>
          <cell r="K227">
            <v>129</v>
          </cell>
          <cell r="M227" t="str">
            <v>NewYearRefresh</v>
          </cell>
          <cell r="N227">
            <v>0.14316214319138981</v>
          </cell>
        </row>
        <row r="228">
          <cell r="C228">
            <v>45467</v>
          </cell>
          <cell r="F228">
            <v>2949</v>
          </cell>
          <cell r="G228">
            <v>476</v>
          </cell>
          <cell r="H228">
            <v>403</v>
          </cell>
          <cell r="I228">
            <v>44235</v>
          </cell>
          <cell r="K228">
            <v>135</v>
          </cell>
          <cell r="M228" t="str">
            <v>FestiveRadiance</v>
          </cell>
          <cell r="N228">
            <v>8.6537809426924378E-2</v>
          </cell>
        </row>
        <row r="229">
          <cell r="C229">
            <v>45735</v>
          </cell>
          <cell r="F229">
            <v>3160</v>
          </cell>
          <cell r="G229">
            <v>204</v>
          </cell>
          <cell r="H229">
            <v>297</v>
          </cell>
          <cell r="I229">
            <v>44240</v>
          </cell>
          <cell r="K229">
            <v>49</v>
          </cell>
          <cell r="M229" t="str">
            <v>DailyWellness</v>
          </cell>
          <cell r="N229">
            <v>8.2753164556962022E-2</v>
          </cell>
        </row>
        <row r="230">
          <cell r="C230">
            <v>45735</v>
          </cell>
          <cell r="F230">
            <v>3160</v>
          </cell>
          <cell r="G230">
            <v>204</v>
          </cell>
          <cell r="H230">
            <v>297</v>
          </cell>
          <cell r="I230">
            <v>44240</v>
          </cell>
          <cell r="K230">
            <v>49</v>
          </cell>
          <cell r="M230" t="str">
            <v>DailyWellness</v>
          </cell>
          <cell r="N230">
            <v>8.2753164556962022E-2</v>
          </cell>
        </row>
        <row r="231">
          <cell r="C231">
            <v>45707</v>
          </cell>
          <cell r="F231">
            <v>257</v>
          </cell>
          <cell r="G231">
            <v>966</v>
          </cell>
          <cell r="H231">
            <v>398</v>
          </cell>
          <cell r="I231">
            <v>3341</v>
          </cell>
          <cell r="K231">
            <v>287</v>
          </cell>
          <cell r="M231" t="str">
            <v>SummerSplash</v>
          </cell>
          <cell r="N231">
            <v>0.48518407662376534</v>
          </cell>
        </row>
        <row r="232">
          <cell r="C232">
            <v>45491</v>
          </cell>
          <cell r="F232">
            <v>2120</v>
          </cell>
          <cell r="G232">
            <v>38</v>
          </cell>
          <cell r="H232">
            <v>212</v>
          </cell>
          <cell r="I232">
            <v>12720</v>
          </cell>
          <cell r="K232">
            <v>21</v>
          </cell>
          <cell r="M232" t="str">
            <v>DailyWellness</v>
          </cell>
          <cell r="N232">
            <v>0.18632075471698112</v>
          </cell>
        </row>
        <row r="233">
          <cell r="C233">
            <v>45719</v>
          </cell>
          <cell r="F233">
            <v>3874</v>
          </cell>
          <cell r="G233">
            <v>884</v>
          </cell>
          <cell r="H233">
            <v>19</v>
          </cell>
          <cell r="I233">
            <v>38740</v>
          </cell>
          <cell r="K233">
            <v>219</v>
          </cell>
          <cell r="M233" t="str">
            <v>FestiveRadiance</v>
          </cell>
          <cell r="N233">
            <v>0.123309241094476</v>
          </cell>
        </row>
        <row r="234">
          <cell r="C234">
            <v>45778</v>
          </cell>
          <cell r="F234">
            <v>2696</v>
          </cell>
          <cell r="G234">
            <v>628</v>
          </cell>
          <cell r="H234">
            <v>443</v>
          </cell>
          <cell r="I234">
            <v>45832</v>
          </cell>
          <cell r="K234">
            <v>248</v>
          </cell>
          <cell r="M234" t="str">
            <v>DailyWellness</v>
          </cell>
          <cell r="N234">
            <v>8.21914819340199E-2</v>
          </cell>
        </row>
        <row r="235">
          <cell r="C235">
            <v>45649</v>
          </cell>
          <cell r="F235">
            <v>521</v>
          </cell>
          <cell r="G235">
            <v>746</v>
          </cell>
          <cell r="H235">
            <v>315</v>
          </cell>
          <cell r="I235">
            <v>4168</v>
          </cell>
          <cell r="K235">
            <v>282</v>
          </cell>
          <cell r="M235" t="str">
            <v>FestiveRadiance</v>
          </cell>
          <cell r="N235">
            <v>0.37955854126679461</v>
          </cell>
        </row>
        <row r="236">
          <cell r="C236">
            <v>45783</v>
          </cell>
          <cell r="F236">
            <v>4872</v>
          </cell>
          <cell r="G236">
            <v>925</v>
          </cell>
          <cell r="H236">
            <v>176</v>
          </cell>
          <cell r="I236">
            <v>82824</v>
          </cell>
          <cell r="K236">
            <v>89</v>
          </cell>
          <cell r="M236" t="str">
            <v>FestiveRadiance</v>
          </cell>
          <cell r="N236">
            <v>7.2116777745580993E-2</v>
          </cell>
        </row>
        <row r="237">
          <cell r="C237">
            <v>45502</v>
          </cell>
          <cell r="F237">
            <v>1509</v>
          </cell>
          <cell r="G237">
            <v>88</v>
          </cell>
          <cell r="H237">
            <v>163</v>
          </cell>
          <cell r="I237">
            <v>30180</v>
          </cell>
          <cell r="K237">
            <v>119</v>
          </cell>
          <cell r="M237" t="str">
            <v>FestiveRadiance</v>
          </cell>
          <cell r="N237">
            <v>5.8316766070245198E-2</v>
          </cell>
        </row>
        <row r="238">
          <cell r="C238">
            <v>45629</v>
          </cell>
          <cell r="F238">
            <v>4606</v>
          </cell>
          <cell r="G238">
            <v>931</v>
          </cell>
          <cell r="H238">
            <v>230</v>
          </cell>
          <cell r="I238">
            <v>92120</v>
          </cell>
          <cell r="K238">
            <v>56</v>
          </cell>
          <cell r="N238">
            <v>6.2603126356925748E-2</v>
          </cell>
        </row>
        <row r="239">
          <cell r="C239">
            <v>45454</v>
          </cell>
          <cell r="F239">
            <v>1869</v>
          </cell>
          <cell r="G239">
            <v>453</v>
          </cell>
          <cell r="H239">
            <v>490</v>
          </cell>
          <cell r="I239">
            <v>14952</v>
          </cell>
          <cell r="K239">
            <v>275</v>
          </cell>
          <cell r="M239" t="str">
            <v>DailyWellness</v>
          </cell>
          <cell r="N239">
            <v>0.18806848582129482</v>
          </cell>
        </row>
        <row r="240">
          <cell r="C240">
            <v>45685</v>
          </cell>
          <cell r="F240">
            <v>1188</v>
          </cell>
          <cell r="G240">
            <v>470</v>
          </cell>
          <cell r="H240">
            <v>174</v>
          </cell>
          <cell r="I240">
            <v>7128</v>
          </cell>
          <cell r="K240">
            <v>270</v>
          </cell>
          <cell r="M240" t="str">
            <v>DailyWellness</v>
          </cell>
          <cell r="N240">
            <v>0.25701459034792368</v>
          </cell>
        </row>
        <row r="241">
          <cell r="C241">
            <v>45445</v>
          </cell>
          <cell r="F241">
            <v>84</v>
          </cell>
          <cell r="G241">
            <v>897</v>
          </cell>
          <cell r="H241">
            <v>85</v>
          </cell>
          <cell r="I241">
            <v>588</v>
          </cell>
          <cell r="K241">
            <v>12</v>
          </cell>
          <cell r="N241">
            <v>1.8129251700680271</v>
          </cell>
        </row>
        <row r="242">
          <cell r="C242">
            <v>45739</v>
          </cell>
          <cell r="F242">
            <v>4453</v>
          </cell>
          <cell r="G242">
            <v>111</v>
          </cell>
          <cell r="H242">
            <v>420</v>
          </cell>
          <cell r="I242">
            <v>31171</v>
          </cell>
          <cell r="K242">
            <v>23</v>
          </cell>
          <cell r="N242">
            <v>0.15989220750056141</v>
          </cell>
        </row>
        <row r="243">
          <cell r="C243">
            <v>45573</v>
          </cell>
          <cell r="F243">
            <v>1814</v>
          </cell>
          <cell r="G243">
            <v>653</v>
          </cell>
          <cell r="H243">
            <v>363</v>
          </cell>
          <cell r="I243">
            <v>25396</v>
          </cell>
          <cell r="K243">
            <v>39</v>
          </cell>
          <cell r="M243" t="str">
            <v>SummerSplash</v>
          </cell>
          <cell r="N243">
            <v>0.11143487163332809</v>
          </cell>
        </row>
        <row r="244">
          <cell r="C244">
            <v>45573</v>
          </cell>
          <cell r="F244">
            <v>1814</v>
          </cell>
          <cell r="G244">
            <v>653</v>
          </cell>
          <cell r="H244">
            <v>363</v>
          </cell>
          <cell r="I244">
            <v>25396</v>
          </cell>
          <cell r="K244">
            <v>39</v>
          </cell>
          <cell r="M244" t="str">
            <v>SummerSplash</v>
          </cell>
          <cell r="N244">
            <v>0.11143487163332809</v>
          </cell>
        </row>
        <row r="245">
          <cell r="C245">
            <v>45608</v>
          </cell>
          <cell r="F245">
            <v>3338</v>
          </cell>
          <cell r="G245">
            <v>277</v>
          </cell>
          <cell r="H245">
            <v>118</v>
          </cell>
          <cell r="I245">
            <v>60084</v>
          </cell>
          <cell r="K245">
            <v>252</v>
          </cell>
          <cell r="N245">
            <v>6.2129685107516146E-2</v>
          </cell>
        </row>
        <row r="246">
          <cell r="C246">
            <v>45790</v>
          </cell>
          <cell r="F246">
            <v>602</v>
          </cell>
          <cell r="G246">
            <v>594</v>
          </cell>
          <cell r="H246">
            <v>156</v>
          </cell>
          <cell r="I246">
            <v>4214</v>
          </cell>
          <cell r="K246">
            <v>164</v>
          </cell>
          <cell r="M246" t="str">
            <v>NewYearRefresh</v>
          </cell>
          <cell r="N246">
            <v>0.32083531086853345</v>
          </cell>
        </row>
        <row r="247">
          <cell r="C247">
            <v>45463</v>
          </cell>
          <cell r="F247">
            <v>4672</v>
          </cell>
          <cell r="G247">
            <v>325</v>
          </cell>
          <cell r="H247">
            <v>32</v>
          </cell>
          <cell r="I247">
            <v>88768</v>
          </cell>
          <cell r="K247">
            <v>118</v>
          </cell>
          <cell r="N247">
            <v>5.6653298485940883E-2</v>
          </cell>
        </row>
        <row r="248">
          <cell r="C248">
            <v>45511</v>
          </cell>
          <cell r="F248">
            <v>1741</v>
          </cell>
          <cell r="G248">
            <v>164</v>
          </cell>
          <cell r="H248">
            <v>318</v>
          </cell>
          <cell r="I248">
            <v>8705</v>
          </cell>
          <cell r="K248">
            <v>121</v>
          </cell>
          <cell r="N248">
            <v>0.25537047673750718</v>
          </cell>
        </row>
        <row r="249">
          <cell r="C249">
            <v>45455</v>
          </cell>
          <cell r="F249">
            <v>246</v>
          </cell>
          <cell r="G249">
            <v>149</v>
          </cell>
          <cell r="H249">
            <v>130</v>
          </cell>
          <cell r="I249">
            <v>4674</v>
          </cell>
          <cell r="K249">
            <v>217</v>
          </cell>
          <cell r="M249" t="str">
            <v>NewYearRefresh</v>
          </cell>
          <cell r="N249">
            <v>0.11232349165596919</v>
          </cell>
        </row>
        <row r="250">
          <cell r="C250">
            <v>45474</v>
          </cell>
          <cell r="F250">
            <v>4808</v>
          </cell>
          <cell r="G250">
            <v>772</v>
          </cell>
          <cell r="H250">
            <v>320</v>
          </cell>
          <cell r="I250">
            <v>72120</v>
          </cell>
          <cell r="K250">
            <v>195</v>
          </cell>
          <cell r="M250" t="str">
            <v>SummerSplash</v>
          </cell>
          <cell r="N250">
            <v>8.1808097615085965E-2</v>
          </cell>
        </row>
        <row r="251">
          <cell r="C251">
            <v>45476</v>
          </cell>
          <cell r="F251">
            <v>4799</v>
          </cell>
          <cell r="G251">
            <v>694</v>
          </cell>
          <cell r="H251">
            <v>289</v>
          </cell>
          <cell r="I251">
            <v>43191</v>
          </cell>
          <cell r="K251">
            <v>118</v>
          </cell>
          <cell r="N251">
            <v>0.13387048227640017</v>
          </cell>
        </row>
        <row r="252">
          <cell r="C252">
            <v>45488</v>
          </cell>
          <cell r="F252">
            <v>3663</v>
          </cell>
          <cell r="G252">
            <v>17</v>
          </cell>
          <cell r="H252">
            <v>295</v>
          </cell>
          <cell r="I252">
            <v>51282</v>
          </cell>
          <cell r="K252">
            <v>84</v>
          </cell>
          <cell r="M252" t="str">
            <v>NewYearRefresh</v>
          </cell>
          <cell r="N252">
            <v>7.7512577512577507E-2</v>
          </cell>
        </row>
        <row r="253">
          <cell r="C253">
            <v>45778</v>
          </cell>
          <cell r="F253">
            <v>1430</v>
          </cell>
          <cell r="G253">
            <v>376</v>
          </cell>
          <cell r="H253">
            <v>33</v>
          </cell>
          <cell r="I253">
            <v>21450</v>
          </cell>
          <cell r="K253">
            <v>251</v>
          </cell>
          <cell r="M253" t="str">
            <v>SummerSplash</v>
          </cell>
          <cell r="N253">
            <v>8.5734265734265735E-2</v>
          </cell>
        </row>
        <row r="254">
          <cell r="C254">
            <v>45776</v>
          </cell>
          <cell r="F254">
            <v>249</v>
          </cell>
          <cell r="G254">
            <v>592</v>
          </cell>
          <cell r="H254">
            <v>230</v>
          </cell>
          <cell r="I254">
            <v>1494</v>
          </cell>
          <cell r="K254">
            <v>201</v>
          </cell>
          <cell r="M254" t="str">
            <v>DailyWellness</v>
          </cell>
          <cell r="N254">
            <v>0.7168674698795181</v>
          </cell>
        </row>
        <row r="255">
          <cell r="C255">
            <v>45724</v>
          </cell>
          <cell r="F255">
            <v>2382</v>
          </cell>
          <cell r="G255">
            <v>265</v>
          </cell>
          <cell r="H255">
            <v>134</v>
          </cell>
          <cell r="I255">
            <v>38112</v>
          </cell>
          <cell r="K255">
            <v>249</v>
          </cell>
          <cell r="M255" t="str">
            <v>DailyWellness</v>
          </cell>
          <cell r="N255">
            <v>7.2969143576826198E-2</v>
          </cell>
        </row>
        <row r="256">
          <cell r="C256">
            <v>45444</v>
          </cell>
          <cell r="F256">
            <v>1272</v>
          </cell>
          <cell r="G256">
            <v>465</v>
          </cell>
          <cell r="H256">
            <v>99</v>
          </cell>
          <cell r="I256">
            <v>24168</v>
          </cell>
          <cell r="K256">
            <v>42</v>
          </cell>
          <cell r="N256">
            <v>7.5968222442899705E-2</v>
          </cell>
        </row>
        <row r="257">
          <cell r="C257">
            <v>45648</v>
          </cell>
          <cell r="F257">
            <v>3196</v>
          </cell>
          <cell r="G257">
            <v>941</v>
          </cell>
          <cell r="H257">
            <v>376</v>
          </cell>
          <cell r="I257">
            <v>35156</v>
          </cell>
          <cell r="K257">
            <v>241</v>
          </cell>
          <cell r="M257" t="str">
            <v>NewYearRefresh</v>
          </cell>
          <cell r="N257">
            <v>0.1283706906360223</v>
          </cell>
        </row>
        <row r="258">
          <cell r="C258">
            <v>45523</v>
          </cell>
          <cell r="F258">
            <v>1257</v>
          </cell>
          <cell r="G258">
            <v>19</v>
          </cell>
          <cell r="H258">
            <v>351</v>
          </cell>
          <cell r="I258">
            <v>12570</v>
          </cell>
          <cell r="K258">
            <v>194</v>
          </cell>
          <cell r="M258" t="str">
            <v>FestiveRadiance</v>
          </cell>
          <cell r="N258">
            <v>0.12943516308671441</v>
          </cell>
        </row>
        <row r="259">
          <cell r="C259">
            <v>45523</v>
          </cell>
          <cell r="F259">
            <v>1257</v>
          </cell>
          <cell r="G259">
            <v>19</v>
          </cell>
          <cell r="H259">
            <v>351</v>
          </cell>
          <cell r="I259">
            <v>12570</v>
          </cell>
          <cell r="K259">
            <v>194</v>
          </cell>
          <cell r="M259" t="str">
            <v>FestiveRadiance</v>
          </cell>
          <cell r="N259">
            <v>0.12943516308671441</v>
          </cell>
        </row>
        <row r="260">
          <cell r="C260">
            <v>45523</v>
          </cell>
          <cell r="F260">
            <v>1257</v>
          </cell>
          <cell r="G260">
            <v>19</v>
          </cell>
          <cell r="H260">
            <v>351</v>
          </cell>
          <cell r="I260">
            <v>12570</v>
          </cell>
          <cell r="K260">
            <v>194</v>
          </cell>
          <cell r="M260" t="str">
            <v>FestiveRadiance</v>
          </cell>
          <cell r="N260">
            <v>0.12943516308671441</v>
          </cell>
        </row>
        <row r="261">
          <cell r="C261">
            <v>45587</v>
          </cell>
          <cell r="F261">
            <v>3770</v>
          </cell>
          <cell r="G261">
            <v>917</v>
          </cell>
          <cell r="H261">
            <v>129</v>
          </cell>
          <cell r="I261">
            <v>71630</v>
          </cell>
          <cell r="K261">
            <v>76</v>
          </cell>
          <cell r="M261" t="str">
            <v>SummerSplash</v>
          </cell>
          <cell r="N261">
            <v>6.7234398994834563E-2</v>
          </cell>
        </row>
        <row r="262">
          <cell r="C262">
            <v>45489</v>
          </cell>
          <cell r="F262">
            <v>4725</v>
          </cell>
          <cell r="G262">
            <v>400</v>
          </cell>
          <cell r="H262">
            <v>362</v>
          </cell>
          <cell r="I262">
            <v>75600</v>
          </cell>
          <cell r="K262">
            <v>43</v>
          </cell>
          <cell r="M262" t="str">
            <v>DailyWellness</v>
          </cell>
          <cell r="N262">
            <v>7.2579365079365077E-2</v>
          </cell>
        </row>
        <row r="263">
          <cell r="C263">
            <v>45712</v>
          </cell>
          <cell r="F263">
            <v>4188</v>
          </cell>
          <cell r="G263">
            <v>942</v>
          </cell>
          <cell r="H263">
            <v>118</v>
          </cell>
          <cell r="I263">
            <v>20940</v>
          </cell>
          <cell r="K263">
            <v>102</v>
          </cell>
          <cell r="N263">
            <v>0.25062082139446035</v>
          </cell>
        </row>
        <row r="264">
          <cell r="C264">
            <v>45530</v>
          </cell>
          <cell r="F264">
            <v>929</v>
          </cell>
          <cell r="G264">
            <v>192</v>
          </cell>
          <cell r="H264">
            <v>322</v>
          </cell>
          <cell r="I264">
            <v>16722</v>
          </cell>
          <cell r="K264">
            <v>145</v>
          </cell>
          <cell r="M264" t="str">
            <v>NewYearRefresh</v>
          </cell>
          <cell r="N264">
            <v>8.6293505561535699E-2</v>
          </cell>
        </row>
        <row r="265">
          <cell r="C265">
            <v>45530</v>
          </cell>
          <cell r="F265">
            <v>929</v>
          </cell>
          <cell r="G265">
            <v>192</v>
          </cell>
          <cell r="H265">
            <v>322</v>
          </cell>
          <cell r="I265">
            <v>16722</v>
          </cell>
          <cell r="K265">
            <v>145</v>
          </cell>
          <cell r="M265" t="str">
            <v>NewYearRefresh</v>
          </cell>
          <cell r="N265">
            <v>8.6293505561535699E-2</v>
          </cell>
        </row>
        <row r="266">
          <cell r="C266">
            <v>45530</v>
          </cell>
          <cell r="F266">
            <v>929</v>
          </cell>
          <cell r="G266">
            <v>192</v>
          </cell>
          <cell r="H266">
            <v>322</v>
          </cell>
          <cell r="I266">
            <v>16722</v>
          </cell>
          <cell r="K266">
            <v>145</v>
          </cell>
          <cell r="M266" t="str">
            <v>NewYearRefresh</v>
          </cell>
          <cell r="N266">
            <v>8.6293505561535699E-2</v>
          </cell>
        </row>
        <row r="267">
          <cell r="C267">
            <v>45675</v>
          </cell>
          <cell r="F267">
            <v>4321</v>
          </cell>
          <cell r="G267">
            <v>874</v>
          </cell>
          <cell r="H267">
            <v>172</v>
          </cell>
          <cell r="I267">
            <v>30247</v>
          </cell>
          <cell r="K267">
            <v>122</v>
          </cell>
          <cell r="M267" t="str">
            <v>DailyWellness</v>
          </cell>
          <cell r="N267">
            <v>0.17743908486792079</v>
          </cell>
        </row>
        <row r="268">
          <cell r="C268">
            <v>45480</v>
          </cell>
          <cell r="F268">
            <v>4767</v>
          </cell>
          <cell r="G268">
            <v>190</v>
          </cell>
          <cell r="H268">
            <v>340</v>
          </cell>
          <cell r="I268">
            <v>28602</v>
          </cell>
          <cell r="K268">
            <v>210</v>
          </cell>
          <cell r="M268" t="str">
            <v>NewYearRefresh</v>
          </cell>
          <cell r="N268">
            <v>0.18519683938186141</v>
          </cell>
        </row>
        <row r="269">
          <cell r="C269">
            <v>45722</v>
          </cell>
          <cell r="F269">
            <v>3592</v>
          </cell>
          <cell r="G269">
            <v>911</v>
          </cell>
          <cell r="H269">
            <v>375</v>
          </cell>
          <cell r="I269">
            <v>50288</v>
          </cell>
          <cell r="K269">
            <v>32</v>
          </cell>
          <cell r="M269" t="str">
            <v>DailyWellness</v>
          </cell>
          <cell r="N269">
            <v>9.7001272669424113E-2</v>
          </cell>
        </row>
        <row r="270">
          <cell r="C270">
            <v>45590</v>
          </cell>
          <cell r="F270">
            <v>4661</v>
          </cell>
          <cell r="G270">
            <v>935</v>
          </cell>
          <cell r="H270">
            <v>433</v>
          </cell>
          <cell r="I270">
            <v>23305</v>
          </cell>
          <cell r="K270">
            <v>63</v>
          </cell>
          <cell r="M270" t="str">
            <v>NewYearRefresh</v>
          </cell>
          <cell r="N270">
            <v>0.25869984981763572</v>
          </cell>
        </row>
        <row r="271">
          <cell r="C271">
            <v>45669</v>
          </cell>
          <cell r="F271">
            <v>4134</v>
          </cell>
          <cell r="G271">
            <v>824</v>
          </cell>
          <cell r="H271">
            <v>99</v>
          </cell>
          <cell r="I271">
            <v>41340</v>
          </cell>
          <cell r="K271">
            <v>177</v>
          </cell>
          <cell r="M271" t="str">
            <v>SummerSplash</v>
          </cell>
          <cell r="N271">
            <v>0.12232704402515723</v>
          </cell>
        </row>
        <row r="272">
          <cell r="C272">
            <v>45576</v>
          </cell>
          <cell r="F272">
            <v>400</v>
          </cell>
          <cell r="G272">
            <v>680</v>
          </cell>
          <cell r="H272">
            <v>434</v>
          </cell>
          <cell r="I272">
            <v>6400</v>
          </cell>
          <cell r="K272">
            <v>160</v>
          </cell>
          <cell r="M272" t="str">
            <v>FestiveRadiance</v>
          </cell>
          <cell r="N272">
            <v>0.23656250000000001</v>
          </cell>
        </row>
        <row r="273">
          <cell r="C273">
            <v>45531</v>
          </cell>
          <cell r="F273">
            <v>3960</v>
          </cell>
          <cell r="G273">
            <v>266</v>
          </cell>
          <cell r="H273">
            <v>8</v>
          </cell>
          <cell r="I273">
            <v>35640</v>
          </cell>
          <cell r="K273">
            <v>208</v>
          </cell>
          <cell r="N273">
            <v>0.11879910213243547</v>
          </cell>
        </row>
        <row r="274">
          <cell r="C274">
            <v>45531</v>
          </cell>
          <cell r="F274">
            <v>3960</v>
          </cell>
          <cell r="G274">
            <v>266</v>
          </cell>
          <cell r="H274">
            <v>8</v>
          </cell>
          <cell r="I274">
            <v>35640</v>
          </cell>
          <cell r="K274">
            <v>208</v>
          </cell>
          <cell r="N274">
            <v>0.11879910213243547</v>
          </cell>
        </row>
        <row r="275">
          <cell r="C275">
            <v>45531</v>
          </cell>
          <cell r="F275">
            <v>3960</v>
          </cell>
          <cell r="G275">
            <v>266</v>
          </cell>
          <cell r="H275">
            <v>8</v>
          </cell>
          <cell r="I275">
            <v>35640</v>
          </cell>
          <cell r="K275">
            <v>208</v>
          </cell>
          <cell r="N275">
            <v>0.11879910213243547</v>
          </cell>
        </row>
        <row r="276">
          <cell r="C276">
            <v>45690</v>
          </cell>
          <cell r="F276">
            <v>886</v>
          </cell>
          <cell r="G276">
            <v>126</v>
          </cell>
          <cell r="H276">
            <v>153</v>
          </cell>
          <cell r="I276">
            <v>4430</v>
          </cell>
          <cell r="K276">
            <v>212</v>
          </cell>
          <cell r="N276">
            <v>0.26297968397291194</v>
          </cell>
        </row>
        <row r="277">
          <cell r="C277">
            <v>45491</v>
          </cell>
          <cell r="F277">
            <v>827</v>
          </cell>
          <cell r="G277">
            <v>77</v>
          </cell>
          <cell r="H277">
            <v>402</v>
          </cell>
          <cell r="I277">
            <v>14886</v>
          </cell>
          <cell r="K277">
            <v>254</v>
          </cell>
          <cell r="M277" t="str">
            <v>FestiveRadiance</v>
          </cell>
          <cell r="N277">
            <v>8.7733440816874911E-2</v>
          </cell>
        </row>
        <row r="278">
          <cell r="C278">
            <v>45465</v>
          </cell>
          <cell r="F278">
            <v>3813</v>
          </cell>
          <cell r="G278">
            <v>935</v>
          </cell>
          <cell r="H278">
            <v>274</v>
          </cell>
          <cell r="I278">
            <v>68634</v>
          </cell>
          <cell r="K278">
            <v>251</v>
          </cell>
          <cell r="N278">
            <v>7.3170731707317069E-2</v>
          </cell>
        </row>
        <row r="279">
          <cell r="C279">
            <v>45743</v>
          </cell>
          <cell r="F279">
            <v>1377</v>
          </cell>
          <cell r="G279">
            <v>796</v>
          </cell>
          <cell r="H279">
            <v>387</v>
          </cell>
          <cell r="I279">
            <v>22032</v>
          </cell>
          <cell r="K279">
            <v>189</v>
          </cell>
          <cell r="N279">
            <v>0.11619462599854757</v>
          </cell>
        </row>
        <row r="280">
          <cell r="C280">
            <v>45775</v>
          </cell>
          <cell r="F280">
            <v>2089</v>
          </cell>
          <cell r="G280">
            <v>476</v>
          </cell>
          <cell r="H280">
            <v>69</v>
          </cell>
          <cell r="I280">
            <v>16712</v>
          </cell>
          <cell r="K280">
            <v>64</v>
          </cell>
          <cell r="M280" t="str">
            <v>NewYearRefresh</v>
          </cell>
          <cell r="N280">
            <v>0.15761129727142173</v>
          </cell>
        </row>
        <row r="281">
          <cell r="C281">
            <v>45507</v>
          </cell>
          <cell r="F281">
            <v>3791</v>
          </cell>
          <cell r="G281">
            <v>593</v>
          </cell>
          <cell r="H281">
            <v>228</v>
          </cell>
          <cell r="I281">
            <v>53074</v>
          </cell>
          <cell r="K281">
            <v>205</v>
          </cell>
          <cell r="N281">
            <v>8.6897539284772202E-2</v>
          </cell>
        </row>
        <row r="282">
          <cell r="C282">
            <v>45671</v>
          </cell>
          <cell r="F282">
            <v>2692</v>
          </cell>
          <cell r="G282">
            <v>115</v>
          </cell>
          <cell r="H282">
            <v>64</v>
          </cell>
          <cell r="I282">
            <v>21536</v>
          </cell>
          <cell r="K282">
            <v>224</v>
          </cell>
          <cell r="M282" t="str">
            <v>FestiveRadiance</v>
          </cell>
          <cell r="N282">
            <v>0.13331166419019316</v>
          </cell>
        </row>
        <row r="283">
          <cell r="C283">
            <v>45750</v>
          </cell>
          <cell r="F283">
            <v>3767</v>
          </cell>
          <cell r="G283">
            <v>514</v>
          </cell>
          <cell r="H283">
            <v>238</v>
          </cell>
          <cell r="I283">
            <v>37670</v>
          </cell>
          <cell r="K283">
            <v>226</v>
          </cell>
          <cell r="M283" t="str">
            <v>DailyWellness</v>
          </cell>
          <cell r="N283">
            <v>0.11996283514733209</v>
          </cell>
        </row>
        <row r="284">
          <cell r="C284">
            <v>45553</v>
          </cell>
          <cell r="F284">
            <v>2143</v>
          </cell>
          <cell r="G284">
            <v>12</v>
          </cell>
          <cell r="H284">
            <v>204</v>
          </cell>
          <cell r="I284">
            <v>40717</v>
          </cell>
          <cell r="K284">
            <v>248</v>
          </cell>
          <cell r="M284" t="str">
            <v>FestiveRadiance</v>
          </cell>
          <cell r="N284">
            <v>5.7936488444630008E-2</v>
          </cell>
        </row>
        <row r="285">
          <cell r="C285">
            <v>45753</v>
          </cell>
          <cell r="F285">
            <v>3090</v>
          </cell>
          <cell r="G285">
            <v>697</v>
          </cell>
          <cell r="H285">
            <v>164</v>
          </cell>
          <cell r="I285">
            <v>49440</v>
          </cell>
          <cell r="K285">
            <v>25</v>
          </cell>
          <cell r="M285" t="str">
            <v>FestiveRadiance</v>
          </cell>
          <cell r="N285">
            <v>7.9915048543689318E-2</v>
          </cell>
        </row>
        <row r="286">
          <cell r="C286">
            <v>45753</v>
          </cell>
          <cell r="F286">
            <v>3090</v>
          </cell>
          <cell r="G286">
            <v>697</v>
          </cell>
          <cell r="H286">
            <v>164</v>
          </cell>
          <cell r="I286">
            <v>49440</v>
          </cell>
          <cell r="K286">
            <v>25</v>
          </cell>
          <cell r="M286" t="str">
            <v>FestiveRadiance</v>
          </cell>
          <cell r="N286">
            <v>7.9915048543689318E-2</v>
          </cell>
        </row>
        <row r="287">
          <cell r="C287">
            <v>45753</v>
          </cell>
          <cell r="F287">
            <v>3090</v>
          </cell>
          <cell r="G287">
            <v>697</v>
          </cell>
          <cell r="H287">
            <v>164</v>
          </cell>
          <cell r="I287">
            <v>49440</v>
          </cell>
          <cell r="K287">
            <v>25</v>
          </cell>
          <cell r="M287" t="str">
            <v>FestiveRadiance</v>
          </cell>
          <cell r="N287">
            <v>7.9915048543689318E-2</v>
          </cell>
        </row>
        <row r="288">
          <cell r="C288">
            <v>45509</v>
          </cell>
          <cell r="F288">
            <v>3601</v>
          </cell>
          <cell r="G288">
            <v>695</v>
          </cell>
          <cell r="H288">
            <v>75</v>
          </cell>
          <cell r="I288">
            <v>21606</v>
          </cell>
          <cell r="K288">
            <v>172</v>
          </cell>
          <cell r="M288" t="str">
            <v>FestiveRadiance</v>
          </cell>
          <cell r="N288">
            <v>0.2023049153013052</v>
          </cell>
        </row>
        <row r="289">
          <cell r="C289">
            <v>45698</v>
          </cell>
          <cell r="F289">
            <v>562</v>
          </cell>
          <cell r="G289">
            <v>158</v>
          </cell>
          <cell r="H289">
            <v>149</v>
          </cell>
          <cell r="I289">
            <v>3372</v>
          </cell>
          <cell r="K289">
            <v>93</v>
          </cell>
          <cell r="M289" t="str">
            <v>SummerSplash</v>
          </cell>
          <cell r="N289">
            <v>0.25771055753262156</v>
          </cell>
        </row>
        <row r="290">
          <cell r="C290">
            <v>45700</v>
          </cell>
          <cell r="F290">
            <v>4332</v>
          </cell>
          <cell r="G290">
            <v>771</v>
          </cell>
          <cell r="H290">
            <v>219</v>
          </cell>
          <cell r="I290">
            <v>60648</v>
          </cell>
          <cell r="K290">
            <v>10</v>
          </cell>
          <cell r="M290" t="str">
            <v>NewYearRefresh</v>
          </cell>
          <cell r="N290">
            <v>8.7752275425405618E-2</v>
          </cell>
        </row>
        <row r="291">
          <cell r="C291">
            <v>45700</v>
          </cell>
          <cell r="F291">
            <v>4332</v>
          </cell>
          <cell r="G291">
            <v>771</v>
          </cell>
          <cell r="H291">
            <v>219</v>
          </cell>
          <cell r="I291">
            <v>60648</v>
          </cell>
          <cell r="K291">
            <v>10</v>
          </cell>
          <cell r="M291" t="str">
            <v>NewYearRefresh</v>
          </cell>
          <cell r="N291">
            <v>8.7752275425405618E-2</v>
          </cell>
        </row>
        <row r="292">
          <cell r="C292">
            <v>45700</v>
          </cell>
          <cell r="F292">
            <v>4332</v>
          </cell>
          <cell r="G292">
            <v>771</v>
          </cell>
          <cell r="H292">
            <v>219</v>
          </cell>
          <cell r="I292">
            <v>60648</v>
          </cell>
          <cell r="K292">
            <v>10</v>
          </cell>
          <cell r="M292" t="str">
            <v>NewYearRefresh</v>
          </cell>
          <cell r="N292">
            <v>8.7752275425405618E-2</v>
          </cell>
        </row>
        <row r="293">
          <cell r="C293">
            <v>45592</v>
          </cell>
          <cell r="F293">
            <v>4853</v>
          </cell>
          <cell r="G293">
            <v>837</v>
          </cell>
          <cell r="H293">
            <v>340</v>
          </cell>
          <cell r="I293">
            <v>72795</v>
          </cell>
          <cell r="K293">
            <v>170</v>
          </cell>
          <cell r="M293" t="str">
            <v>SummerSplash</v>
          </cell>
          <cell r="N293">
            <v>8.2835359571399134E-2</v>
          </cell>
        </row>
        <row r="294">
          <cell r="C294">
            <v>45675</v>
          </cell>
          <cell r="F294">
            <v>1206</v>
          </cell>
          <cell r="G294">
            <v>238</v>
          </cell>
          <cell r="H294">
            <v>36</v>
          </cell>
          <cell r="I294">
            <v>9648</v>
          </cell>
          <cell r="K294">
            <v>237</v>
          </cell>
          <cell r="N294">
            <v>0.15339966832504145</v>
          </cell>
        </row>
        <row r="295">
          <cell r="C295">
            <v>45524</v>
          </cell>
          <cell r="F295">
            <v>2603</v>
          </cell>
          <cell r="G295">
            <v>690</v>
          </cell>
          <cell r="H295">
            <v>205</v>
          </cell>
          <cell r="I295">
            <v>13015</v>
          </cell>
          <cell r="K295">
            <v>20</v>
          </cell>
          <cell r="M295" t="str">
            <v>FestiveRadiance</v>
          </cell>
          <cell r="N295">
            <v>0.26876680752977333</v>
          </cell>
        </row>
        <row r="296">
          <cell r="C296">
            <v>45687</v>
          </cell>
          <cell r="F296">
            <v>59</v>
          </cell>
          <cell r="G296">
            <v>163</v>
          </cell>
          <cell r="H296">
            <v>93</v>
          </cell>
          <cell r="I296">
            <v>590</v>
          </cell>
          <cell r="K296">
            <v>293</v>
          </cell>
          <cell r="M296" t="str">
            <v>FestiveRadiance</v>
          </cell>
          <cell r="N296">
            <v>0.53389830508474578</v>
          </cell>
        </row>
        <row r="297">
          <cell r="C297">
            <v>45708</v>
          </cell>
          <cell r="F297">
            <v>1877</v>
          </cell>
          <cell r="G297">
            <v>745</v>
          </cell>
          <cell r="H297">
            <v>225</v>
          </cell>
          <cell r="I297">
            <v>11262</v>
          </cell>
          <cell r="K297">
            <v>41</v>
          </cell>
          <cell r="M297" t="str">
            <v>DailyWellness</v>
          </cell>
          <cell r="N297">
            <v>0.25279701651571657</v>
          </cell>
        </row>
        <row r="298">
          <cell r="C298">
            <v>45621</v>
          </cell>
          <cell r="F298">
            <v>4182</v>
          </cell>
          <cell r="G298">
            <v>640</v>
          </cell>
          <cell r="H298">
            <v>240</v>
          </cell>
          <cell r="I298">
            <v>50184</v>
          </cell>
          <cell r="K298">
            <v>10</v>
          </cell>
          <cell r="M298" t="str">
            <v>NewYearRefresh</v>
          </cell>
          <cell r="N298">
            <v>0.10086880280567512</v>
          </cell>
        </row>
        <row r="299">
          <cell r="C299">
            <v>45569</v>
          </cell>
          <cell r="F299">
            <v>4187</v>
          </cell>
          <cell r="G299">
            <v>66</v>
          </cell>
          <cell r="H299">
            <v>31</v>
          </cell>
          <cell r="I299">
            <v>66992</v>
          </cell>
          <cell r="K299">
            <v>62</v>
          </cell>
          <cell r="N299">
            <v>6.3947934081681396E-2</v>
          </cell>
        </row>
        <row r="300">
          <cell r="C300">
            <v>45760</v>
          </cell>
          <cell r="F300">
            <v>4579</v>
          </cell>
          <cell r="G300">
            <v>125</v>
          </cell>
          <cell r="H300">
            <v>300</v>
          </cell>
          <cell r="I300">
            <v>59527</v>
          </cell>
          <cell r="K300">
            <v>269</v>
          </cell>
          <cell r="M300" t="str">
            <v>SummerSplash</v>
          </cell>
          <cell r="N300">
            <v>8.4062694239588759E-2</v>
          </cell>
        </row>
        <row r="301">
          <cell r="C301">
            <v>45601</v>
          </cell>
          <cell r="F301">
            <v>4561</v>
          </cell>
          <cell r="G301">
            <v>51</v>
          </cell>
          <cell r="H301">
            <v>441</v>
          </cell>
          <cell r="I301">
            <v>22805</v>
          </cell>
          <cell r="K301">
            <v>45</v>
          </cell>
          <cell r="M301" t="str">
            <v>FestiveRadiance</v>
          </cell>
          <cell r="N301">
            <v>0.22157421618066214</v>
          </cell>
        </row>
        <row r="302">
          <cell r="C302">
            <v>45672</v>
          </cell>
          <cell r="F302">
            <v>3774</v>
          </cell>
          <cell r="G302">
            <v>239</v>
          </cell>
          <cell r="H302">
            <v>39</v>
          </cell>
          <cell r="I302">
            <v>60384</v>
          </cell>
          <cell r="K302">
            <v>241</v>
          </cell>
          <cell r="M302" t="str">
            <v>NewYearRefresh</v>
          </cell>
          <cell r="N302">
            <v>6.7103868574456813E-2</v>
          </cell>
        </row>
        <row r="303">
          <cell r="C303">
            <v>45582</v>
          </cell>
          <cell r="F303">
            <v>3575</v>
          </cell>
          <cell r="G303">
            <v>749</v>
          </cell>
          <cell r="H303">
            <v>111</v>
          </cell>
          <cell r="I303">
            <v>21450</v>
          </cell>
          <cell r="K303">
            <v>195</v>
          </cell>
          <cell r="M303" t="str">
            <v>FestiveRadiance</v>
          </cell>
          <cell r="N303">
            <v>0.20675990675990677</v>
          </cell>
        </row>
        <row r="304">
          <cell r="C304">
            <v>45743</v>
          </cell>
          <cell r="F304">
            <v>4941</v>
          </cell>
          <cell r="G304">
            <v>414</v>
          </cell>
          <cell r="H304">
            <v>266</v>
          </cell>
          <cell r="I304">
            <v>39528</v>
          </cell>
          <cell r="K304">
            <v>217</v>
          </cell>
          <cell r="M304" t="str">
            <v>NewYearRefresh</v>
          </cell>
          <cell r="N304">
            <v>0.14220299534507186</v>
          </cell>
        </row>
        <row r="305">
          <cell r="C305">
            <v>45577</v>
          </cell>
          <cell r="F305">
            <v>3641</v>
          </cell>
          <cell r="G305">
            <v>226</v>
          </cell>
          <cell r="H305">
            <v>46</v>
          </cell>
          <cell r="I305">
            <v>40051</v>
          </cell>
          <cell r="K305">
            <v>296</v>
          </cell>
          <cell r="M305" t="str">
            <v>DailyWellness</v>
          </cell>
          <cell r="N305">
            <v>9.7700431949264685E-2</v>
          </cell>
        </row>
        <row r="306">
          <cell r="C306">
            <v>45658</v>
          </cell>
          <cell r="F306">
            <v>3535</v>
          </cell>
          <cell r="G306">
            <v>494</v>
          </cell>
          <cell r="H306">
            <v>152</v>
          </cell>
          <cell r="I306">
            <v>53025</v>
          </cell>
          <cell r="K306">
            <v>44</v>
          </cell>
          <cell r="M306" t="str">
            <v>DailyWellness</v>
          </cell>
          <cell r="N306">
            <v>7.8849599245638849E-2</v>
          </cell>
        </row>
        <row r="307">
          <cell r="C307">
            <v>45509</v>
          </cell>
          <cell r="F307">
            <v>1741</v>
          </cell>
          <cell r="G307">
            <v>831</v>
          </cell>
          <cell r="H307">
            <v>345</v>
          </cell>
          <cell r="I307">
            <v>17410</v>
          </cell>
          <cell r="K307">
            <v>58</v>
          </cell>
          <cell r="M307" t="str">
            <v>NewYearRefresh</v>
          </cell>
          <cell r="N307">
            <v>0.16754738655944859</v>
          </cell>
        </row>
        <row r="308">
          <cell r="C308">
            <v>45450</v>
          </cell>
          <cell r="F308">
            <v>1556</v>
          </cell>
          <cell r="G308">
            <v>195</v>
          </cell>
          <cell r="H308">
            <v>131</v>
          </cell>
          <cell r="I308">
            <v>9336</v>
          </cell>
          <cell r="K308">
            <v>137</v>
          </cell>
          <cell r="M308" t="str">
            <v>FestiveRadiance</v>
          </cell>
          <cell r="N308">
            <v>0.2015852613538989</v>
          </cell>
        </row>
        <row r="309">
          <cell r="C309">
            <v>45753</v>
          </cell>
          <cell r="F309">
            <v>4236</v>
          </cell>
          <cell r="G309">
            <v>711</v>
          </cell>
          <cell r="H309">
            <v>298</v>
          </cell>
          <cell r="I309">
            <v>21180</v>
          </cell>
          <cell r="K309">
            <v>238</v>
          </cell>
          <cell r="M309" t="str">
            <v>SummerSplash</v>
          </cell>
          <cell r="N309">
            <v>0.24763928234183191</v>
          </cell>
        </row>
        <row r="310">
          <cell r="C310">
            <v>45622</v>
          </cell>
          <cell r="F310">
            <v>4516</v>
          </cell>
          <cell r="G310">
            <v>836</v>
          </cell>
          <cell r="H310">
            <v>169</v>
          </cell>
          <cell r="I310">
            <v>49676</v>
          </cell>
          <cell r="K310">
            <v>282</v>
          </cell>
          <cell r="M310" t="str">
            <v>DailyWellness</v>
          </cell>
          <cell r="N310">
            <v>0.11114018842096787</v>
          </cell>
        </row>
        <row r="311">
          <cell r="C311">
            <v>45537</v>
          </cell>
          <cell r="F311">
            <v>4905</v>
          </cell>
          <cell r="G311">
            <v>845</v>
          </cell>
          <cell r="H311">
            <v>129</v>
          </cell>
          <cell r="I311">
            <v>98100</v>
          </cell>
          <cell r="K311">
            <v>279</v>
          </cell>
          <cell r="M311" t="str">
            <v>FestiveRadiance</v>
          </cell>
          <cell r="N311">
            <v>5.9928644240570844E-2</v>
          </cell>
        </row>
        <row r="312">
          <cell r="C312">
            <v>45586</v>
          </cell>
          <cell r="F312">
            <v>4275</v>
          </cell>
          <cell r="G312">
            <v>680</v>
          </cell>
          <cell r="H312">
            <v>385</v>
          </cell>
          <cell r="I312">
            <v>64125</v>
          </cell>
          <cell r="K312">
            <v>104</v>
          </cell>
          <cell r="M312" t="str">
            <v>DailyWellness</v>
          </cell>
          <cell r="N312">
            <v>8.3274853801169585E-2</v>
          </cell>
        </row>
        <row r="313">
          <cell r="C313">
            <v>45586</v>
          </cell>
          <cell r="F313">
            <v>4275</v>
          </cell>
          <cell r="G313">
            <v>680</v>
          </cell>
          <cell r="H313">
            <v>385</v>
          </cell>
          <cell r="I313">
            <v>64125</v>
          </cell>
          <cell r="K313">
            <v>104</v>
          </cell>
          <cell r="M313" t="str">
            <v>DailyWellness</v>
          </cell>
          <cell r="N313">
            <v>8.3274853801169585E-2</v>
          </cell>
        </row>
        <row r="314">
          <cell r="C314">
            <v>45586</v>
          </cell>
          <cell r="F314">
            <v>4275</v>
          </cell>
          <cell r="G314">
            <v>680</v>
          </cell>
          <cell r="H314">
            <v>385</v>
          </cell>
          <cell r="I314">
            <v>64125</v>
          </cell>
          <cell r="K314">
            <v>104</v>
          </cell>
          <cell r="M314" t="str">
            <v>DailyWellness</v>
          </cell>
          <cell r="N314">
            <v>8.3274853801169585E-2</v>
          </cell>
        </row>
        <row r="315">
          <cell r="C315">
            <v>45738</v>
          </cell>
          <cell r="F315">
            <v>3166</v>
          </cell>
          <cell r="G315">
            <v>90</v>
          </cell>
          <cell r="H315">
            <v>341</v>
          </cell>
          <cell r="I315">
            <v>56988</v>
          </cell>
          <cell r="K315">
            <v>135</v>
          </cell>
          <cell r="M315" t="str">
            <v>FestiveRadiance</v>
          </cell>
          <cell r="N315">
            <v>6.3118551273952411E-2</v>
          </cell>
        </row>
        <row r="316">
          <cell r="C316">
            <v>45568</v>
          </cell>
          <cell r="F316">
            <v>1488</v>
          </cell>
          <cell r="G316">
            <v>417</v>
          </cell>
          <cell r="H316">
            <v>168</v>
          </cell>
          <cell r="I316">
            <v>19344</v>
          </cell>
          <cell r="K316">
            <v>30</v>
          </cell>
          <cell r="M316" t="str">
            <v>NewYearRefresh</v>
          </cell>
          <cell r="N316">
            <v>0.1071650124069479</v>
          </cell>
        </row>
        <row r="317">
          <cell r="C317">
            <v>45786</v>
          </cell>
          <cell r="F317">
            <v>3367</v>
          </cell>
          <cell r="G317">
            <v>302</v>
          </cell>
          <cell r="H317">
            <v>57</v>
          </cell>
          <cell r="I317">
            <v>63973</v>
          </cell>
          <cell r="K317">
            <v>157</v>
          </cell>
          <cell r="M317" t="str">
            <v>FestiveRadiance</v>
          </cell>
          <cell r="N317">
            <v>5.8243321401216137E-2</v>
          </cell>
        </row>
        <row r="318">
          <cell r="C318">
            <v>45552</v>
          </cell>
          <cell r="F318">
            <v>571</v>
          </cell>
          <cell r="G318">
            <v>190</v>
          </cell>
          <cell r="H318">
            <v>352</v>
          </cell>
          <cell r="I318">
            <v>9707</v>
          </cell>
          <cell r="K318">
            <v>231</v>
          </cell>
          <cell r="M318" t="str">
            <v>DailyWellness</v>
          </cell>
          <cell r="N318">
            <v>0.11465952405480581</v>
          </cell>
        </row>
        <row r="319">
          <cell r="C319">
            <v>45491</v>
          </cell>
          <cell r="F319">
            <v>4021</v>
          </cell>
          <cell r="G319">
            <v>794</v>
          </cell>
          <cell r="H319">
            <v>77</v>
          </cell>
          <cell r="I319">
            <v>36189</v>
          </cell>
          <cell r="K319">
            <v>174</v>
          </cell>
          <cell r="N319">
            <v>0.13517919809886983</v>
          </cell>
        </row>
        <row r="320">
          <cell r="C320">
            <v>45560</v>
          </cell>
          <cell r="F320">
            <v>3389</v>
          </cell>
          <cell r="G320">
            <v>344</v>
          </cell>
          <cell r="H320">
            <v>229</v>
          </cell>
          <cell r="I320">
            <v>20334</v>
          </cell>
          <cell r="K320">
            <v>228</v>
          </cell>
          <cell r="M320" t="str">
            <v>NewYearRefresh</v>
          </cell>
          <cell r="N320">
            <v>0.19484607062063539</v>
          </cell>
        </row>
        <row r="321">
          <cell r="C321">
            <v>45519</v>
          </cell>
          <cell r="F321">
            <v>1164</v>
          </cell>
          <cell r="G321">
            <v>616</v>
          </cell>
          <cell r="H321">
            <v>324</v>
          </cell>
          <cell r="I321">
            <v>6984</v>
          </cell>
          <cell r="K321">
            <v>82</v>
          </cell>
          <cell r="M321" t="str">
            <v>SummerSplash</v>
          </cell>
          <cell r="N321">
            <v>0.30126002290950743</v>
          </cell>
        </row>
        <row r="322">
          <cell r="C322">
            <v>45764</v>
          </cell>
          <cell r="F322">
            <v>4780</v>
          </cell>
          <cell r="G322">
            <v>691</v>
          </cell>
          <cell r="H322">
            <v>380</v>
          </cell>
          <cell r="I322">
            <v>86040</v>
          </cell>
          <cell r="K322">
            <v>262</v>
          </cell>
          <cell r="M322" t="str">
            <v>NewYearRefresh</v>
          </cell>
          <cell r="N322">
            <v>6.800325430032543E-2</v>
          </cell>
        </row>
        <row r="323">
          <cell r="C323">
            <v>45624</v>
          </cell>
          <cell r="F323">
            <v>2751</v>
          </cell>
          <cell r="G323">
            <v>33</v>
          </cell>
          <cell r="H323">
            <v>430</v>
          </cell>
          <cell r="I323">
            <v>44016</v>
          </cell>
          <cell r="K323">
            <v>129</v>
          </cell>
          <cell r="N323">
            <v>7.3018902217375503E-2</v>
          </cell>
        </row>
        <row r="324">
          <cell r="C324">
            <v>45646</v>
          </cell>
          <cell r="F324">
            <v>2107</v>
          </cell>
          <cell r="G324">
            <v>550</v>
          </cell>
          <cell r="H324">
            <v>349</v>
          </cell>
          <cell r="I324">
            <v>35819</v>
          </cell>
          <cell r="K324">
            <v>191</v>
          </cell>
          <cell r="M324" t="str">
            <v>DailyWellness</v>
          </cell>
          <cell r="N324">
            <v>8.3921940869371006E-2</v>
          </cell>
        </row>
        <row r="325">
          <cell r="C325">
            <v>45602</v>
          </cell>
          <cell r="F325">
            <v>4663</v>
          </cell>
          <cell r="G325">
            <v>145</v>
          </cell>
          <cell r="H325">
            <v>225</v>
          </cell>
          <cell r="I325">
            <v>69945</v>
          </cell>
          <cell r="K325">
            <v>35</v>
          </cell>
          <cell r="M325" t="str">
            <v>DailyWellness</v>
          </cell>
          <cell r="N325">
            <v>7.1956537279290869E-2</v>
          </cell>
        </row>
        <row r="326">
          <cell r="C326">
            <v>45613</v>
          </cell>
          <cell r="F326">
            <v>880</v>
          </cell>
          <cell r="G326">
            <v>297</v>
          </cell>
          <cell r="H326">
            <v>345</v>
          </cell>
          <cell r="I326">
            <v>12320</v>
          </cell>
          <cell r="K326">
            <v>238</v>
          </cell>
          <cell r="N326">
            <v>0.12353896103896105</v>
          </cell>
        </row>
        <row r="327">
          <cell r="C327">
            <v>45613</v>
          </cell>
          <cell r="F327">
            <v>880</v>
          </cell>
          <cell r="G327">
            <v>297</v>
          </cell>
          <cell r="H327">
            <v>345</v>
          </cell>
          <cell r="I327">
            <v>12320</v>
          </cell>
          <cell r="K327">
            <v>238</v>
          </cell>
          <cell r="N327">
            <v>0.12353896103896105</v>
          </cell>
        </row>
        <row r="328">
          <cell r="C328">
            <v>45791</v>
          </cell>
          <cell r="F328">
            <v>2634</v>
          </cell>
          <cell r="G328">
            <v>726</v>
          </cell>
          <cell r="H328">
            <v>241</v>
          </cell>
          <cell r="I328">
            <v>28974</v>
          </cell>
          <cell r="K328">
            <v>277</v>
          </cell>
          <cell r="M328" t="str">
            <v>SummerSplash</v>
          </cell>
          <cell r="N328">
            <v>0.12428384068475185</v>
          </cell>
        </row>
        <row r="329">
          <cell r="C329">
            <v>45462</v>
          </cell>
          <cell r="F329">
            <v>4731</v>
          </cell>
          <cell r="G329">
            <v>173</v>
          </cell>
          <cell r="H329">
            <v>276</v>
          </cell>
          <cell r="I329">
            <v>28386</v>
          </cell>
          <cell r="K329">
            <v>89</v>
          </cell>
          <cell r="M329" t="str">
            <v>NewYearRefresh</v>
          </cell>
          <cell r="N329">
            <v>0.18248432325794406</v>
          </cell>
        </row>
        <row r="330">
          <cell r="C330">
            <v>45783</v>
          </cell>
          <cell r="F330">
            <v>1952</v>
          </cell>
          <cell r="G330">
            <v>344</v>
          </cell>
          <cell r="H330">
            <v>287</v>
          </cell>
          <cell r="I330">
            <v>15616</v>
          </cell>
          <cell r="K330">
            <v>235</v>
          </cell>
          <cell r="M330" t="str">
            <v>FestiveRadiance</v>
          </cell>
          <cell r="N330">
            <v>0.16540727459016394</v>
          </cell>
        </row>
        <row r="331">
          <cell r="C331">
            <v>45783</v>
          </cell>
          <cell r="F331">
            <v>1952</v>
          </cell>
          <cell r="G331">
            <v>344</v>
          </cell>
          <cell r="H331">
            <v>287</v>
          </cell>
          <cell r="I331">
            <v>15616</v>
          </cell>
          <cell r="K331">
            <v>235</v>
          </cell>
          <cell r="M331" t="str">
            <v>FestiveRadiance</v>
          </cell>
          <cell r="N331">
            <v>0.16540727459016394</v>
          </cell>
        </row>
        <row r="332">
          <cell r="C332">
            <v>45783</v>
          </cell>
          <cell r="F332">
            <v>1952</v>
          </cell>
          <cell r="G332">
            <v>344</v>
          </cell>
          <cell r="H332">
            <v>287</v>
          </cell>
          <cell r="I332">
            <v>15616</v>
          </cell>
          <cell r="K332">
            <v>235</v>
          </cell>
          <cell r="M332" t="str">
            <v>FestiveRadiance</v>
          </cell>
          <cell r="N332">
            <v>0.16540727459016394</v>
          </cell>
        </row>
        <row r="333">
          <cell r="C333">
            <v>45699</v>
          </cell>
          <cell r="F333">
            <v>3440</v>
          </cell>
          <cell r="G333">
            <v>13</v>
          </cell>
          <cell r="H333">
            <v>20</v>
          </cell>
          <cell r="I333">
            <v>58480</v>
          </cell>
          <cell r="K333">
            <v>210</v>
          </cell>
          <cell r="M333" t="str">
            <v>DailyWellness</v>
          </cell>
          <cell r="N333">
            <v>5.9387824897400819E-2</v>
          </cell>
        </row>
        <row r="334">
          <cell r="C334">
            <v>45699</v>
          </cell>
          <cell r="F334">
            <v>3440</v>
          </cell>
          <cell r="G334">
            <v>13</v>
          </cell>
          <cell r="H334">
            <v>20</v>
          </cell>
          <cell r="I334">
            <v>58480</v>
          </cell>
          <cell r="K334">
            <v>210</v>
          </cell>
          <cell r="M334" t="str">
            <v>DailyWellness</v>
          </cell>
          <cell r="N334">
            <v>5.9387824897400819E-2</v>
          </cell>
        </row>
        <row r="335">
          <cell r="C335">
            <v>45650</v>
          </cell>
          <cell r="F335">
            <v>2166</v>
          </cell>
          <cell r="G335">
            <v>354</v>
          </cell>
          <cell r="H335">
            <v>117</v>
          </cell>
          <cell r="I335">
            <v>10830</v>
          </cell>
          <cell r="K335">
            <v>24</v>
          </cell>
          <cell r="M335" t="str">
            <v>DailyWellness</v>
          </cell>
          <cell r="N335">
            <v>0.24349030470914126</v>
          </cell>
        </row>
        <row r="336">
          <cell r="C336">
            <v>45589</v>
          </cell>
          <cell r="F336">
            <v>4303</v>
          </cell>
          <cell r="G336">
            <v>451</v>
          </cell>
          <cell r="H336">
            <v>286</v>
          </cell>
          <cell r="I336">
            <v>86060</v>
          </cell>
          <cell r="K336">
            <v>14</v>
          </cell>
          <cell r="M336" t="str">
            <v>NewYearRefresh</v>
          </cell>
          <cell r="N336">
            <v>5.8563792702765516E-2</v>
          </cell>
        </row>
        <row r="337">
          <cell r="C337">
            <v>45530</v>
          </cell>
          <cell r="F337">
            <v>2581</v>
          </cell>
          <cell r="G337">
            <v>517</v>
          </cell>
          <cell r="H337">
            <v>117</v>
          </cell>
          <cell r="I337">
            <v>23229</v>
          </cell>
          <cell r="K337">
            <v>70</v>
          </cell>
          <cell r="M337" t="str">
            <v>NewYearRefresh</v>
          </cell>
          <cell r="N337">
            <v>0.13840458048129492</v>
          </cell>
        </row>
        <row r="338">
          <cell r="C338">
            <v>45535</v>
          </cell>
          <cell r="F338">
            <v>4494</v>
          </cell>
          <cell r="G338">
            <v>717</v>
          </cell>
          <cell r="H338">
            <v>45</v>
          </cell>
          <cell r="I338">
            <v>62916</v>
          </cell>
          <cell r="K338">
            <v>191</v>
          </cell>
          <cell r="M338" t="str">
            <v>SummerSplash</v>
          </cell>
          <cell r="N338">
            <v>8.3539958039290485E-2</v>
          </cell>
        </row>
        <row r="339">
          <cell r="C339">
            <v>45535</v>
          </cell>
          <cell r="F339">
            <v>4494</v>
          </cell>
          <cell r="G339">
            <v>717</v>
          </cell>
          <cell r="H339">
            <v>45</v>
          </cell>
          <cell r="I339">
            <v>62916</v>
          </cell>
          <cell r="K339">
            <v>191</v>
          </cell>
          <cell r="M339" t="str">
            <v>SummerSplash</v>
          </cell>
          <cell r="N339">
            <v>8.3539958039290485E-2</v>
          </cell>
        </row>
        <row r="340">
          <cell r="C340">
            <v>45535</v>
          </cell>
          <cell r="F340">
            <v>4494</v>
          </cell>
          <cell r="G340">
            <v>717</v>
          </cell>
          <cell r="H340">
            <v>45</v>
          </cell>
          <cell r="I340">
            <v>62916</v>
          </cell>
          <cell r="K340">
            <v>191</v>
          </cell>
          <cell r="M340" t="str">
            <v>SummerSplash</v>
          </cell>
          <cell r="N340">
            <v>8.3539958039290485E-2</v>
          </cell>
        </row>
      </sheetData>
      <sheetData sheetId="1">
        <row r="1">
          <cell r="A1" t="str">
            <v>Week_Start_Date</v>
          </cell>
          <cell r="H1" t="str">
            <v>Net Follower Change</v>
          </cell>
        </row>
        <row r="2">
          <cell r="A2">
            <v>45446</v>
          </cell>
          <cell r="H2">
            <v>1047</v>
          </cell>
        </row>
        <row r="3">
          <cell r="A3">
            <v>45446</v>
          </cell>
          <cell r="H3">
            <v>1002</v>
          </cell>
        </row>
        <row r="4">
          <cell r="A4">
            <v>45446</v>
          </cell>
          <cell r="H4">
            <v>415</v>
          </cell>
        </row>
        <row r="5">
          <cell r="A5">
            <v>45446</v>
          </cell>
          <cell r="H5">
            <v>1090</v>
          </cell>
        </row>
        <row r="6">
          <cell r="A6">
            <v>45453</v>
          </cell>
          <cell r="H6">
            <v>517</v>
          </cell>
        </row>
        <row r="7">
          <cell r="A7">
            <v>45453</v>
          </cell>
          <cell r="H7">
            <v>1283</v>
          </cell>
        </row>
        <row r="8">
          <cell r="A8">
            <v>45453</v>
          </cell>
          <cell r="H8">
            <v>186</v>
          </cell>
        </row>
        <row r="9">
          <cell r="A9">
            <v>45453</v>
          </cell>
          <cell r="H9">
            <v>994</v>
          </cell>
        </row>
        <row r="10">
          <cell r="A10">
            <v>45460</v>
          </cell>
          <cell r="H10">
            <v>893</v>
          </cell>
        </row>
        <row r="11">
          <cell r="A11">
            <v>45460</v>
          </cell>
          <cell r="H11">
            <v>1382</v>
          </cell>
        </row>
        <row r="12">
          <cell r="A12">
            <v>45460</v>
          </cell>
          <cell r="H12">
            <v>1295</v>
          </cell>
        </row>
        <row r="13">
          <cell r="A13">
            <v>45460</v>
          </cell>
          <cell r="H13">
            <v>337</v>
          </cell>
        </row>
        <row r="14">
          <cell r="A14">
            <v>45467</v>
          </cell>
          <cell r="H14">
            <v>629</v>
          </cell>
        </row>
        <row r="15">
          <cell r="A15">
            <v>45467</v>
          </cell>
          <cell r="H15">
            <v>1670</v>
          </cell>
        </row>
        <row r="16">
          <cell r="A16">
            <v>45467</v>
          </cell>
          <cell r="H16">
            <v>835</v>
          </cell>
        </row>
        <row r="17">
          <cell r="A17">
            <v>45467</v>
          </cell>
          <cell r="H17">
            <v>-123</v>
          </cell>
        </row>
        <row r="18">
          <cell r="A18">
            <v>45474</v>
          </cell>
          <cell r="H18">
            <v>-219</v>
          </cell>
        </row>
        <row r="19">
          <cell r="A19">
            <v>45474</v>
          </cell>
          <cell r="H19">
            <v>64</v>
          </cell>
        </row>
        <row r="20">
          <cell r="A20">
            <v>45474</v>
          </cell>
          <cell r="H20">
            <v>1357</v>
          </cell>
        </row>
        <row r="21">
          <cell r="A21">
            <v>45474</v>
          </cell>
          <cell r="H21">
            <v>91</v>
          </cell>
        </row>
        <row r="22">
          <cell r="A22">
            <v>45481</v>
          </cell>
          <cell r="H22">
            <v>1672</v>
          </cell>
        </row>
        <row r="23">
          <cell r="A23">
            <v>45481</v>
          </cell>
          <cell r="H23">
            <v>309</v>
          </cell>
        </row>
        <row r="24">
          <cell r="A24">
            <v>45481</v>
          </cell>
          <cell r="H24">
            <v>547</v>
          </cell>
        </row>
        <row r="25">
          <cell r="A25">
            <v>45481</v>
          </cell>
          <cell r="H25">
            <v>514</v>
          </cell>
        </row>
        <row r="26">
          <cell r="A26">
            <v>45488</v>
          </cell>
          <cell r="H26">
            <v>1845</v>
          </cell>
        </row>
        <row r="27">
          <cell r="A27">
            <v>45488</v>
          </cell>
          <cell r="H27">
            <v>-164</v>
          </cell>
        </row>
        <row r="28">
          <cell r="A28">
            <v>45488</v>
          </cell>
          <cell r="H28">
            <v>429</v>
          </cell>
        </row>
        <row r="29">
          <cell r="A29">
            <v>45488</v>
          </cell>
          <cell r="H29">
            <v>160</v>
          </cell>
        </row>
        <row r="30">
          <cell r="A30">
            <v>45495</v>
          </cell>
          <cell r="H30">
            <v>159</v>
          </cell>
        </row>
        <row r="31">
          <cell r="A31">
            <v>45495</v>
          </cell>
          <cell r="H31">
            <v>961</v>
          </cell>
        </row>
        <row r="32">
          <cell r="A32">
            <v>45495</v>
          </cell>
          <cell r="H32">
            <v>1316</v>
          </cell>
        </row>
        <row r="33">
          <cell r="A33">
            <v>45495</v>
          </cell>
          <cell r="H33">
            <v>317</v>
          </cell>
        </row>
        <row r="34">
          <cell r="A34">
            <v>45502</v>
          </cell>
          <cell r="H34">
            <v>541</v>
          </cell>
        </row>
        <row r="35">
          <cell r="A35">
            <v>45502</v>
          </cell>
          <cell r="H35">
            <v>-318</v>
          </cell>
        </row>
        <row r="36">
          <cell r="A36">
            <v>45502</v>
          </cell>
          <cell r="H36">
            <v>1495</v>
          </cell>
        </row>
        <row r="37">
          <cell r="A37">
            <v>45502</v>
          </cell>
          <cell r="H37">
            <v>475</v>
          </cell>
        </row>
        <row r="38">
          <cell r="A38">
            <v>45509</v>
          </cell>
          <cell r="H38">
            <v>352</v>
          </cell>
        </row>
        <row r="39">
          <cell r="A39">
            <v>45509</v>
          </cell>
          <cell r="H39">
            <v>-197</v>
          </cell>
        </row>
        <row r="40">
          <cell r="A40">
            <v>45509</v>
          </cell>
          <cell r="H40">
            <v>328</v>
          </cell>
        </row>
        <row r="41">
          <cell r="A41">
            <v>45509</v>
          </cell>
          <cell r="H41">
            <v>319</v>
          </cell>
        </row>
        <row r="42">
          <cell r="A42">
            <v>45516</v>
          </cell>
          <cell r="H42">
            <v>1325</v>
          </cell>
        </row>
        <row r="43">
          <cell r="A43">
            <v>45516</v>
          </cell>
          <cell r="H43">
            <v>1334</v>
          </cell>
        </row>
        <row r="44">
          <cell r="A44">
            <v>45516</v>
          </cell>
          <cell r="H44">
            <v>37</v>
          </cell>
        </row>
        <row r="45">
          <cell r="A45">
            <v>45516</v>
          </cell>
          <cell r="H45">
            <v>1032</v>
          </cell>
        </row>
        <row r="46">
          <cell r="A46">
            <v>45523</v>
          </cell>
          <cell r="H46">
            <v>76</v>
          </cell>
        </row>
        <row r="47">
          <cell r="A47">
            <v>45523</v>
          </cell>
          <cell r="H47">
            <v>1058</v>
          </cell>
        </row>
        <row r="48">
          <cell r="A48">
            <v>45523</v>
          </cell>
          <cell r="H48">
            <v>1665</v>
          </cell>
        </row>
        <row r="49">
          <cell r="A49">
            <v>45523</v>
          </cell>
          <cell r="H49">
            <v>190</v>
          </cell>
        </row>
        <row r="50">
          <cell r="A50">
            <v>45530</v>
          </cell>
          <cell r="H50">
            <v>1609</v>
          </cell>
        </row>
        <row r="51">
          <cell r="A51">
            <v>45530</v>
          </cell>
          <cell r="H51">
            <v>37</v>
          </cell>
        </row>
        <row r="52">
          <cell r="A52">
            <v>45530</v>
          </cell>
          <cell r="H52">
            <v>1229</v>
          </cell>
        </row>
        <row r="53">
          <cell r="A53">
            <v>45530</v>
          </cell>
          <cell r="H53">
            <v>28</v>
          </cell>
        </row>
        <row r="54">
          <cell r="A54">
            <v>45537</v>
          </cell>
          <cell r="H54">
            <v>1247</v>
          </cell>
        </row>
        <row r="55">
          <cell r="A55">
            <v>45537</v>
          </cell>
          <cell r="H55">
            <v>1045</v>
          </cell>
        </row>
        <row r="56">
          <cell r="A56">
            <v>45537</v>
          </cell>
          <cell r="H56">
            <v>197</v>
          </cell>
        </row>
        <row r="57">
          <cell r="A57">
            <v>45537</v>
          </cell>
          <cell r="H57">
            <v>333</v>
          </cell>
        </row>
        <row r="58">
          <cell r="A58">
            <v>45544</v>
          </cell>
          <cell r="H58">
            <v>1572</v>
          </cell>
        </row>
        <row r="59">
          <cell r="A59">
            <v>45544</v>
          </cell>
          <cell r="H59">
            <v>1428</v>
          </cell>
        </row>
        <row r="60">
          <cell r="A60">
            <v>45544</v>
          </cell>
          <cell r="H60">
            <v>260</v>
          </cell>
        </row>
        <row r="61">
          <cell r="A61">
            <v>45544</v>
          </cell>
          <cell r="H61">
            <v>1100</v>
          </cell>
        </row>
        <row r="62">
          <cell r="A62">
            <v>45551</v>
          </cell>
          <cell r="H62">
            <v>377</v>
          </cell>
        </row>
        <row r="63">
          <cell r="A63">
            <v>45551</v>
          </cell>
          <cell r="H63">
            <v>98</v>
          </cell>
        </row>
        <row r="64">
          <cell r="A64">
            <v>45551</v>
          </cell>
          <cell r="H64">
            <v>1125</v>
          </cell>
        </row>
        <row r="65">
          <cell r="A65">
            <v>45551</v>
          </cell>
          <cell r="H65">
            <v>-32</v>
          </cell>
        </row>
        <row r="66">
          <cell r="A66">
            <v>45558</v>
          </cell>
          <cell r="H66">
            <v>666</v>
          </cell>
        </row>
        <row r="67">
          <cell r="A67">
            <v>45558</v>
          </cell>
          <cell r="H67">
            <v>-19</v>
          </cell>
        </row>
        <row r="68">
          <cell r="A68">
            <v>45558</v>
          </cell>
          <cell r="H68">
            <v>1680</v>
          </cell>
        </row>
        <row r="69">
          <cell r="A69">
            <v>45558</v>
          </cell>
          <cell r="H69">
            <v>1006</v>
          </cell>
        </row>
        <row r="70">
          <cell r="A70">
            <v>45565</v>
          </cell>
          <cell r="H70">
            <v>1025</v>
          </cell>
        </row>
        <row r="71">
          <cell r="A71">
            <v>45565</v>
          </cell>
          <cell r="H71">
            <v>-179</v>
          </cell>
        </row>
        <row r="72">
          <cell r="A72">
            <v>45565</v>
          </cell>
          <cell r="H72">
            <v>599</v>
          </cell>
        </row>
        <row r="73">
          <cell r="A73">
            <v>45565</v>
          </cell>
          <cell r="H73">
            <v>1706</v>
          </cell>
        </row>
        <row r="74">
          <cell r="A74">
            <v>45572</v>
          </cell>
          <cell r="H74">
            <v>1872</v>
          </cell>
        </row>
        <row r="75">
          <cell r="A75">
            <v>45572</v>
          </cell>
          <cell r="H75">
            <v>1662</v>
          </cell>
        </row>
        <row r="76">
          <cell r="A76">
            <v>45572</v>
          </cell>
          <cell r="H76">
            <v>107</v>
          </cell>
        </row>
        <row r="77">
          <cell r="A77">
            <v>45572</v>
          </cell>
          <cell r="H77">
            <v>118</v>
          </cell>
        </row>
        <row r="78">
          <cell r="A78">
            <v>45579</v>
          </cell>
          <cell r="H78">
            <v>1224</v>
          </cell>
        </row>
        <row r="79">
          <cell r="A79">
            <v>45579</v>
          </cell>
          <cell r="H79">
            <v>285</v>
          </cell>
        </row>
        <row r="80">
          <cell r="A80">
            <v>45579</v>
          </cell>
          <cell r="H80">
            <v>-20</v>
          </cell>
        </row>
        <row r="81">
          <cell r="A81">
            <v>45579</v>
          </cell>
          <cell r="H81">
            <v>367</v>
          </cell>
        </row>
        <row r="82">
          <cell r="A82">
            <v>45586</v>
          </cell>
          <cell r="H82">
            <v>262</v>
          </cell>
        </row>
        <row r="83">
          <cell r="A83">
            <v>45586</v>
          </cell>
          <cell r="H83">
            <v>439</v>
          </cell>
        </row>
        <row r="84">
          <cell r="A84">
            <v>45586</v>
          </cell>
          <cell r="H84">
            <v>636</v>
          </cell>
        </row>
        <row r="85">
          <cell r="A85">
            <v>45586</v>
          </cell>
          <cell r="H85">
            <v>1484</v>
          </cell>
        </row>
        <row r="86">
          <cell r="A86">
            <v>45593</v>
          </cell>
          <cell r="H86">
            <v>576</v>
          </cell>
        </row>
        <row r="87">
          <cell r="A87">
            <v>45593</v>
          </cell>
          <cell r="H87">
            <v>386</v>
          </cell>
        </row>
        <row r="88">
          <cell r="A88">
            <v>45593</v>
          </cell>
          <cell r="H88">
            <v>37</v>
          </cell>
        </row>
        <row r="89">
          <cell r="A89">
            <v>45593</v>
          </cell>
          <cell r="H89">
            <v>1657</v>
          </cell>
        </row>
        <row r="90">
          <cell r="A90">
            <v>45600</v>
          </cell>
          <cell r="H90">
            <v>1397</v>
          </cell>
        </row>
        <row r="91">
          <cell r="A91">
            <v>45600</v>
          </cell>
          <cell r="H91">
            <v>540</v>
          </cell>
        </row>
        <row r="92">
          <cell r="A92">
            <v>45600</v>
          </cell>
          <cell r="H92">
            <v>1603</v>
          </cell>
        </row>
        <row r="93">
          <cell r="A93">
            <v>45600</v>
          </cell>
          <cell r="H93">
            <v>1044</v>
          </cell>
        </row>
        <row r="94">
          <cell r="A94">
            <v>45607</v>
          </cell>
          <cell r="H94">
            <v>902</v>
          </cell>
        </row>
        <row r="95">
          <cell r="A95">
            <v>45607</v>
          </cell>
          <cell r="H95">
            <v>-106</v>
          </cell>
        </row>
        <row r="96">
          <cell r="A96">
            <v>45607</v>
          </cell>
          <cell r="H96">
            <v>1150</v>
          </cell>
        </row>
        <row r="97">
          <cell r="A97">
            <v>45607</v>
          </cell>
          <cell r="H97">
            <v>349</v>
          </cell>
        </row>
        <row r="98">
          <cell r="A98">
            <v>45614</v>
          </cell>
          <cell r="H98">
            <v>-49</v>
          </cell>
        </row>
        <row r="99">
          <cell r="A99">
            <v>45614</v>
          </cell>
          <cell r="H99">
            <v>72</v>
          </cell>
        </row>
        <row r="100">
          <cell r="A100">
            <v>45614</v>
          </cell>
          <cell r="H100">
            <v>445</v>
          </cell>
        </row>
        <row r="101">
          <cell r="A101">
            <v>45614</v>
          </cell>
          <cell r="H101">
            <v>60</v>
          </cell>
        </row>
        <row r="102">
          <cell r="A102">
            <v>45621</v>
          </cell>
          <cell r="H102">
            <v>1693</v>
          </cell>
        </row>
        <row r="103">
          <cell r="A103">
            <v>45621</v>
          </cell>
          <cell r="H103">
            <v>1332</v>
          </cell>
        </row>
        <row r="104">
          <cell r="A104">
            <v>45621</v>
          </cell>
          <cell r="H104">
            <v>98</v>
          </cell>
        </row>
        <row r="105">
          <cell r="A105">
            <v>45621</v>
          </cell>
          <cell r="H105">
            <v>885</v>
          </cell>
        </row>
        <row r="106">
          <cell r="A106">
            <v>45628</v>
          </cell>
          <cell r="H106">
            <v>1625</v>
          </cell>
        </row>
        <row r="107">
          <cell r="A107">
            <v>45628</v>
          </cell>
          <cell r="H107">
            <v>1706</v>
          </cell>
        </row>
        <row r="108">
          <cell r="A108">
            <v>45628</v>
          </cell>
          <cell r="H108">
            <v>1173</v>
          </cell>
        </row>
        <row r="109">
          <cell r="A109">
            <v>45628</v>
          </cell>
          <cell r="H109">
            <v>291</v>
          </cell>
        </row>
        <row r="110">
          <cell r="A110">
            <v>45635</v>
          </cell>
          <cell r="H110">
            <v>1119</v>
          </cell>
        </row>
        <row r="111">
          <cell r="A111">
            <v>45635</v>
          </cell>
          <cell r="H111">
            <v>1373</v>
          </cell>
        </row>
        <row r="112">
          <cell r="A112">
            <v>45635</v>
          </cell>
          <cell r="H112">
            <v>1727</v>
          </cell>
        </row>
        <row r="113">
          <cell r="A113">
            <v>45635</v>
          </cell>
          <cell r="H113">
            <v>573</v>
          </cell>
        </row>
        <row r="114">
          <cell r="A114">
            <v>45642</v>
          </cell>
          <cell r="H114">
            <v>1432</v>
          </cell>
        </row>
        <row r="115">
          <cell r="A115">
            <v>45642</v>
          </cell>
          <cell r="H115">
            <v>1377</v>
          </cell>
        </row>
        <row r="116">
          <cell r="A116">
            <v>45642</v>
          </cell>
          <cell r="H116">
            <v>1359</v>
          </cell>
        </row>
        <row r="117">
          <cell r="A117">
            <v>45642</v>
          </cell>
          <cell r="H117">
            <v>876</v>
          </cell>
        </row>
        <row r="118">
          <cell r="A118">
            <v>45649</v>
          </cell>
          <cell r="H118">
            <v>684</v>
          </cell>
        </row>
        <row r="119">
          <cell r="A119">
            <v>45649</v>
          </cell>
          <cell r="H119">
            <v>730</v>
          </cell>
        </row>
        <row r="120">
          <cell r="A120">
            <v>45649</v>
          </cell>
          <cell r="H120">
            <v>911</v>
          </cell>
        </row>
        <row r="121">
          <cell r="A121">
            <v>45649</v>
          </cell>
          <cell r="H121">
            <v>1589</v>
          </cell>
        </row>
        <row r="122">
          <cell r="A122">
            <v>45656</v>
          </cell>
          <cell r="H122">
            <v>1765</v>
          </cell>
        </row>
        <row r="123">
          <cell r="A123">
            <v>45656</v>
          </cell>
          <cell r="H123">
            <v>1776</v>
          </cell>
        </row>
        <row r="124">
          <cell r="A124">
            <v>45656</v>
          </cell>
          <cell r="H124">
            <v>1529</v>
          </cell>
        </row>
        <row r="125">
          <cell r="A125">
            <v>45656</v>
          </cell>
          <cell r="H125">
            <v>1460</v>
          </cell>
        </row>
        <row r="126">
          <cell r="A126">
            <v>45663</v>
          </cell>
          <cell r="H126">
            <v>903</v>
          </cell>
        </row>
        <row r="127">
          <cell r="A127">
            <v>45663</v>
          </cell>
          <cell r="H127">
            <v>620</v>
          </cell>
        </row>
        <row r="128">
          <cell r="A128">
            <v>45663</v>
          </cell>
          <cell r="H128">
            <v>1188</v>
          </cell>
        </row>
        <row r="129">
          <cell r="A129">
            <v>45663</v>
          </cell>
          <cell r="H129">
            <v>846</v>
          </cell>
        </row>
        <row r="130">
          <cell r="A130">
            <v>45670</v>
          </cell>
          <cell r="H130">
            <v>1722</v>
          </cell>
        </row>
        <row r="131">
          <cell r="A131">
            <v>45670</v>
          </cell>
          <cell r="H131">
            <v>298</v>
          </cell>
        </row>
        <row r="132">
          <cell r="A132">
            <v>45670</v>
          </cell>
          <cell r="H132">
            <v>-144</v>
          </cell>
        </row>
        <row r="133">
          <cell r="A133">
            <v>45670</v>
          </cell>
          <cell r="H133">
            <v>901</v>
          </cell>
        </row>
        <row r="134">
          <cell r="A134">
            <v>45677</v>
          </cell>
          <cell r="H134">
            <v>1572</v>
          </cell>
        </row>
        <row r="135">
          <cell r="A135">
            <v>45677</v>
          </cell>
          <cell r="H135">
            <v>427</v>
          </cell>
        </row>
        <row r="136">
          <cell r="A136">
            <v>45677</v>
          </cell>
          <cell r="H136">
            <v>891</v>
          </cell>
        </row>
        <row r="137">
          <cell r="A137">
            <v>45677</v>
          </cell>
          <cell r="H137">
            <v>724</v>
          </cell>
        </row>
        <row r="138">
          <cell r="A138">
            <v>45684</v>
          </cell>
          <cell r="H138">
            <v>-166</v>
          </cell>
        </row>
        <row r="139">
          <cell r="A139">
            <v>45684</v>
          </cell>
          <cell r="H139">
            <v>898</v>
          </cell>
        </row>
        <row r="140">
          <cell r="A140">
            <v>45684</v>
          </cell>
          <cell r="H140">
            <v>1426</v>
          </cell>
        </row>
        <row r="141">
          <cell r="A141">
            <v>45684</v>
          </cell>
          <cell r="H141">
            <v>1225</v>
          </cell>
        </row>
        <row r="142">
          <cell r="A142">
            <v>45691</v>
          </cell>
          <cell r="H142">
            <v>1080</v>
          </cell>
        </row>
        <row r="143">
          <cell r="A143">
            <v>45691</v>
          </cell>
          <cell r="H143">
            <v>748</v>
          </cell>
        </row>
        <row r="144">
          <cell r="A144">
            <v>45691</v>
          </cell>
          <cell r="H144">
            <v>569</v>
          </cell>
        </row>
        <row r="145">
          <cell r="A145">
            <v>45691</v>
          </cell>
          <cell r="H145">
            <v>-203</v>
          </cell>
        </row>
        <row r="146">
          <cell r="A146">
            <v>45698</v>
          </cell>
          <cell r="H146">
            <v>1723</v>
          </cell>
        </row>
        <row r="147">
          <cell r="A147">
            <v>45698</v>
          </cell>
          <cell r="H147">
            <v>912</v>
          </cell>
        </row>
        <row r="148">
          <cell r="A148">
            <v>45698</v>
          </cell>
          <cell r="H148">
            <v>1202</v>
          </cell>
        </row>
        <row r="149">
          <cell r="A149">
            <v>45698</v>
          </cell>
          <cell r="H149">
            <v>1444</v>
          </cell>
        </row>
        <row r="150">
          <cell r="A150">
            <v>45705</v>
          </cell>
          <cell r="H150">
            <v>965</v>
          </cell>
        </row>
        <row r="151">
          <cell r="A151">
            <v>45705</v>
          </cell>
          <cell r="H151">
            <v>1590</v>
          </cell>
        </row>
        <row r="152">
          <cell r="A152">
            <v>45705</v>
          </cell>
          <cell r="H152">
            <v>-37</v>
          </cell>
        </row>
        <row r="153">
          <cell r="A153">
            <v>45705</v>
          </cell>
          <cell r="H153">
            <v>1175</v>
          </cell>
        </row>
        <row r="154">
          <cell r="A154">
            <v>45712</v>
          </cell>
          <cell r="H154">
            <v>1375</v>
          </cell>
        </row>
        <row r="155">
          <cell r="A155">
            <v>45712</v>
          </cell>
          <cell r="H155">
            <v>1707</v>
          </cell>
        </row>
        <row r="156">
          <cell r="A156">
            <v>45712</v>
          </cell>
          <cell r="H156">
            <v>708</v>
          </cell>
        </row>
        <row r="157">
          <cell r="A157">
            <v>45712</v>
          </cell>
          <cell r="H157">
            <v>1016</v>
          </cell>
        </row>
        <row r="158">
          <cell r="A158">
            <v>45719</v>
          </cell>
          <cell r="H158">
            <v>1315</v>
          </cell>
        </row>
        <row r="159">
          <cell r="A159">
            <v>45719</v>
          </cell>
          <cell r="H159">
            <v>-119</v>
          </cell>
        </row>
        <row r="160">
          <cell r="A160">
            <v>45719</v>
          </cell>
          <cell r="H160">
            <v>899</v>
          </cell>
        </row>
        <row r="161">
          <cell r="A161">
            <v>45719</v>
          </cell>
          <cell r="H161">
            <v>315</v>
          </cell>
        </row>
        <row r="162">
          <cell r="A162">
            <v>45726</v>
          </cell>
          <cell r="H162">
            <v>212</v>
          </cell>
        </row>
        <row r="163">
          <cell r="A163">
            <v>45726</v>
          </cell>
          <cell r="H163">
            <v>908</v>
          </cell>
        </row>
        <row r="164">
          <cell r="A164">
            <v>45726</v>
          </cell>
          <cell r="H164">
            <v>1350</v>
          </cell>
        </row>
        <row r="165">
          <cell r="A165">
            <v>45726</v>
          </cell>
          <cell r="H165">
            <v>1242</v>
          </cell>
        </row>
        <row r="166">
          <cell r="A166">
            <v>45733</v>
          </cell>
          <cell r="H166">
            <v>680</v>
          </cell>
        </row>
        <row r="167">
          <cell r="A167">
            <v>45733</v>
          </cell>
          <cell r="H167">
            <v>1116</v>
          </cell>
        </row>
        <row r="168">
          <cell r="A168">
            <v>45733</v>
          </cell>
          <cell r="H168">
            <v>861</v>
          </cell>
        </row>
        <row r="169">
          <cell r="A169">
            <v>45733</v>
          </cell>
          <cell r="H169">
            <v>1385</v>
          </cell>
        </row>
        <row r="170">
          <cell r="A170">
            <v>45740</v>
          </cell>
          <cell r="H170">
            <v>461</v>
          </cell>
        </row>
        <row r="171">
          <cell r="A171">
            <v>45740</v>
          </cell>
          <cell r="H171">
            <v>474</v>
          </cell>
        </row>
        <row r="172">
          <cell r="A172">
            <v>45740</v>
          </cell>
          <cell r="H172">
            <v>292</v>
          </cell>
        </row>
        <row r="173">
          <cell r="A173">
            <v>45740</v>
          </cell>
          <cell r="H173">
            <v>389</v>
          </cell>
        </row>
        <row r="174">
          <cell r="A174">
            <v>45747</v>
          </cell>
          <cell r="H174">
            <v>641</v>
          </cell>
        </row>
        <row r="175">
          <cell r="A175">
            <v>45747</v>
          </cell>
          <cell r="H175">
            <v>514</v>
          </cell>
        </row>
        <row r="176">
          <cell r="A176">
            <v>45747</v>
          </cell>
          <cell r="H176">
            <v>1676</v>
          </cell>
        </row>
        <row r="177">
          <cell r="A177">
            <v>45747</v>
          </cell>
          <cell r="H177">
            <v>1467</v>
          </cell>
        </row>
        <row r="178">
          <cell r="A178">
            <v>45754</v>
          </cell>
          <cell r="H178">
            <v>167</v>
          </cell>
        </row>
        <row r="179">
          <cell r="A179">
            <v>45754</v>
          </cell>
          <cell r="H179">
            <v>1029</v>
          </cell>
        </row>
        <row r="180">
          <cell r="A180">
            <v>45754</v>
          </cell>
          <cell r="H180">
            <v>1007</v>
          </cell>
        </row>
        <row r="181">
          <cell r="A181">
            <v>45754</v>
          </cell>
          <cell r="H181">
            <v>209</v>
          </cell>
        </row>
        <row r="182">
          <cell r="A182">
            <v>45761</v>
          </cell>
          <cell r="H182">
            <v>-160</v>
          </cell>
        </row>
        <row r="183">
          <cell r="A183">
            <v>45761</v>
          </cell>
          <cell r="H183">
            <v>-175</v>
          </cell>
        </row>
        <row r="184">
          <cell r="A184">
            <v>45761</v>
          </cell>
          <cell r="H184">
            <v>53</v>
          </cell>
        </row>
        <row r="185">
          <cell r="A185">
            <v>45761</v>
          </cell>
          <cell r="H185">
            <v>145</v>
          </cell>
        </row>
        <row r="186">
          <cell r="A186">
            <v>45768</v>
          </cell>
          <cell r="H186">
            <v>603</v>
          </cell>
        </row>
        <row r="187">
          <cell r="A187">
            <v>45768</v>
          </cell>
          <cell r="H187">
            <v>1045</v>
          </cell>
        </row>
        <row r="188">
          <cell r="A188">
            <v>45768</v>
          </cell>
          <cell r="H188">
            <v>759</v>
          </cell>
        </row>
        <row r="189">
          <cell r="A189">
            <v>45768</v>
          </cell>
          <cell r="H189">
            <v>1633</v>
          </cell>
        </row>
        <row r="190">
          <cell r="A190">
            <v>45775</v>
          </cell>
          <cell r="H190">
            <v>1539</v>
          </cell>
        </row>
        <row r="191">
          <cell r="A191">
            <v>45775</v>
          </cell>
          <cell r="H191">
            <v>453</v>
          </cell>
        </row>
        <row r="192">
          <cell r="A192">
            <v>45775</v>
          </cell>
          <cell r="H192">
            <v>948</v>
          </cell>
        </row>
        <row r="193">
          <cell r="A193">
            <v>45775</v>
          </cell>
          <cell r="H193">
            <v>637</v>
          </cell>
        </row>
        <row r="194">
          <cell r="A194">
            <v>45782</v>
          </cell>
          <cell r="H194">
            <v>1881</v>
          </cell>
        </row>
        <row r="195">
          <cell r="A195">
            <v>45782</v>
          </cell>
          <cell r="H195">
            <v>339</v>
          </cell>
        </row>
        <row r="196">
          <cell r="A196">
            <v>45782</v>
          </cell>
          <cell r="H196">
            <v>1510</v>
          </cell>
        </row>
        <row r="197">
          <cell r="A197">
            <v>45782</v>
          </cell>
          <cell r="H197">
            <v>864</v>
          </cell>
        </row>
        <row r="198">
          <cell r="A198">
            <v>45789</v>
          </cell>
          <cell r="H198">
            <v>1656</v>
          </cell>
        </row>
        <row r="199">
          <cell r="A199">
            <v>45789</v>
          </cell>
          <cell r="H199">
            <v>407</v>
          </cell>
        </row>
        <row r="200">
          <cell r="A200">
            <v>45789</v>
          </cell>
          <cell r="H200">
            <v>269</v>
          </cell>
        </row>
        <row r="201">
          <cell r="A201">
            <v>45789</v>
          </cell>
          <cell r="H201">
            <v>-337</v>
          </cell>
        </row>
      </sheetData>
      <sheetData sheetId="2">
        <row r="1">
          <cell r="A1" t="str">
            <v>Campaign_Name</v>
          </cell>
          <cell r="B1" t="str">
            <v>Start_Date</v>
          </cell>
          <cell r="C1" t="str">
            <v>End_Date</v>
          </cell>
          <cell r="D1" t="str">
            <v>Objective</v>
          </cell>
          <cell r="E1" t="str">
            <v>Total_Budget</v>
          </cell>
        </row>
        <row r="2">
          <cell r="A2" t="str">
            <v>SummerSplash</v>
          </cell>
          <cell r="B2">
            <v>45458</v>
          </cell>
          <cell r="C2">
            <v>45488</v>
          </cell>
          <cell r="D2" t="str">
            <v>Brand Awareness</v>
          </cell>
          <cell r="E2">
            <v>150000</v>
          </cell>
        </row>
        <row r="3">
          <cell r="A3" t="str">
            <v>SummerSplash</v>
          </cell>
          <cell r="B3">
            <v>45458</v>
          </cell>
          <cell r="C3">
            <v>45488</v>
          </cell>
          <cell r="D3" t="str">
            <v>Brand Awareness</v>
          </cell>
          <cell r="E3">
            <v>150000</v>
          </cell>
        </row>
        <row r="4">
          <cell r="A4" t="str">
            <v>FestiveRadiance</v>
          </cell>
          <cell r="B4">
            <v>45566</v>
          </cell>
          <cell r="C4">
            <v>45596</v>
          </cell>
          <cell r="D4" t="str">
            <v>Engagement</v>
          </cell>
          <cell r="E4">
            <v>200000</v>
          </cell>
        </row>
        <row r="5">
          <cell r="A5" t="str">
            <v>FestiveRadiance</v>
          </cell>
          <cell r="B5">
            <v>45566</v>
          </cell>
          <cell r="C5">
            <v>45596</v>
          </cell>
          <cell r="D5" t="str">
            <v>Engagement</v>
          </cell>
          <cell r="E5">
            <v>200000</v>
          </cell>
        </row>
        <row r="6">
          <cell r="A6" t="str">
            <v>NewYearRefresh</v>
          </cell>
          <cell r="B6">
            <v>45651</v>
          </cell>
          <cell r="C6">
            <v>45667</v>
          </cell>
          <cell r="D6" t="str">
            <v>Product Launch</v>
          </cell>
          <cell r="E6">
            <v>250000</v>
          </cell>
        </row>
        <row r="7">
          <cell r="A7" t="str">
            <v>DailyWellness</v>
          </cell>
          <cell r="B7">
            <v>45717</v>
          </cell>
          <cell r="C7">
            <v>45747</v>
          </cell>
          <cell r="D7" t="str">
            <v>Traffic</v>
          </cell>
          <cell r="E7">
            <v>180000</v>
          </cell>
        </row>
        <row r="8">
          <cell r="A8" t="str">
            <v>DailyWellness</v>
          </cell>
          <cell r="B8">
            <v>45717</v>
          </cell>
          <cell r="C8">
            <v>45747</v>
          </cell>
          <cell r="D8" t="str">
            <v>Traffic</v>
          </cell>
          <cell r="E8">
            <v>180000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BAD7-C253-4E31-BA75-E31DFCF52F2E}">
  <dimension ref="A1:S5"/>
  <sheetViews>
    <sheetView tabSelected="1" topLeftCell="L1" workbookViewId="0">
      <selection activeCell="O9" sqref="O9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1.21875" bestFit="1" customWidth="1"/>
    <col min="5" max="5" width="15.44140625" bestFit="1" customWidth="1"/>
    <col min="6" max="6" width="10.109375" bestFit="1" customWidth="1"/>
    <col min="7" max="7" width="10.21875" bestFit="1" customWidth="1"/>
    <col min="8" max="8" width="17.88671875" bestFit="1" customWidth="1"/>
    <col min="9" max="10" width="12" bestFit="1" customWidth="1"/>
    <col min="11" max="11" width="22.33203125" bestFit="1" customWidth="1"/>
    <col min="12" max="12" width="22.77734375" bestFit="1" customWidth="1"/>
    <col min="13" max="13" width="21.88671875" bestFit="1" customWidth="1"/>
    <col min="14" max="15" width="32.88671875" bestFit="1" customWidth="1"/>
    <col min="16" max="16" width="19" bestFit="1" customWidth="1"/>
    <col min="17" max="17" width="22.77734375" bestFit="1" customWidth="1"/>
    <col min="18" max="18" width="17.33203125" bestFit="1" customWidth="1"/>
    <col min="19" max="19" width="34.10937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f>VLOOKUP(A2,'[1]Campaign Metadata'!A:E,2,FALSE)</f>
        <v>45717</v>
      </c>
      <c r="C2" s="2">
        <f>VLOOKUP(A2,'[1]Campaign Metadata'!A:E,3,FALSE)</f>
        <v>45747</v>
      </c>
      <c r="D2">
        <f>VLOOKUP(A2,'[1]Campaign Metadata'!A:E,5,FALSE)</f>
        <v>180000</v>
      </c>
      <c r="E2">
        <f>SUMIF([1]Posts!M:M,A2,[1]Posts!I:I)</f>
        <v>2905567</v>
      </c>
      <c r="F2">
        <f>SUMIF([1]Posts!M:M,A2,[1]Posts!F:F)</f>
        <v>219562</v>
      </c>
      <c r="G2">
        <f>SUMIF([1]Posts!M:M,A2,[1]Posts!K:K)</f>
        <v>12544</v>
      </c>
      <c r="H2">
        <f>AVERAGEIF([1]Posts!M:M,A2,[1]Posts!I:I)</f>
        <v>35871.1975308642</v>
      </c>
      <c r="I2">
        <f>AVERAGEIF([1]Posts!M:M,A2,[1]Posts!F:F)</f>
        <v>2710.641975308642</v>
      </c>
      <c r="J2">
        <f>AVERAGEIF([1]Posts!M:M,A2,[1]Posts!K:K)</f>
        <v>154.8641975308642</v>
      </c>
      <c r="K2">
        <f>C2-B2+1</f>
        <v>31</v>
      </c>
      <c r="L2" s="2">
        <f>B2-K2</f>
        <v>45686</v>
      </c>
      <c r="M2" s="2">
        <f>B2-1</f>
        <v>45716</v>
      </c>
      <c r="N2">
        <f>AVERAGEIFS([1]Posts!N:N,[1]Posts!M:M,A2,[1]Posts!C:C, "&gt;="&amp;B2,[1]Posts!C:C,"&lt;="&amp;C2)</f>
        <v>0.10884049000509631</v>
      </c>
      <c r="O2">
        <f>AVERAGEIFS([1]Posts!N:N,[1]Posts!M:M,A2,[1]Posts!C:C,"&gt;="&amp;L2,[1]Posts!C:C,"&lt;="&amp;M2)</f>
        <v>0.11572520109205353</v>
      </c>
      <c r="P2">
        <f>N2-O2</f>
        <v>-6.8847110869572209E-3</v>
      </c>
      <c r="Q2">
        <f>SUMIFS([1]Posts!F:F,[1]Posts!M:M,A2) + SUMIFS([1]Posts!G:G,[1]Posts!M:M,A2) + SUMIFS([1]Posts!H:H,[1]Posts!M:M,A2)</f>
        <v>278843</v>
      </c>
      <c r="R2">
        <f>IF(D2=0,0,Q2/D2)</f>
        <v>1.5491277777777779</v>
      </c>
      <c r="S2">
        <f>SUMIFS('[1]Engagement Summary'!H:H,'[1]Engagement Summary'!A:A,"&gt;="&amp;B2,'[1]Engagement Summary'!A:A,"&lt;="&amp;C2)</f>
        <v>16078</v>
      </c>
    </row>
    <row r="3" spans="1:19" x14ac:dyDescent="0.3">
      <c r="A3" t="s">
        <v>20</v>
      </c>
      <c r="B3" s="2">
        <f>VLOOKUP(A3,'[1]Campaign Metadata'!A:E,2,FALSE)</f>
        <v>45458</v>
      </c>
      <c r="C3" s="2">
        <f>VLOOKUP(A3,'[1]Campaign Metadata'!A:E,3,FALSE)</f>
        <v>45488</v>
      </c>
      <c r="D3">
        <f>VLOOKUP(A3,'[1]Campaign Metadata'!A:E,5,FALSE)</f>
        <v>150000</v>
      </c>
      <c r="E3">
        <f>SUMIF([1]Posts!M:M,A3,[1]Posts!I:I)</f>
        <v>2090555</v>
      </c>
      <c r="F3">
        <f>SUMIF([1]Posts!M:M,A3,[1]Posts!F:F)</f>
        <v>154613</v>
      </c>
      <c r="G3">
        <f>SUMIF([1]Posts!M:M,A3,[1]Posts!K:K)</f>
        <v>7094</v>
      </c>
      <c r="H3">
        <f>AVERAGEIF([1]Posts!M:M,A3,[1]Posts!I:I)</f>
        <v>39444.433962264149</v>
      </c>
      <c r="I3">
        <f>AVERAGEIF([1]Posts!M:M,A3,[1]Posts!F:F)</f>
        <v>2917.2264150943397</v>
      </c>
      <c r="J3">
        <f>AVERAGEIF([1]Posts!M:M,A3,[1]Posts!K:K)</f>
        <v>133.84905660377359</v>
      </c>
      <c r="K3">
        <f>C3-B3+1</f>
        <v>31</v>
      </c>
      <c r="L3" s="2">
        <f>B3-K3</f>
        <v>45427</v>
      </c>
      <c r="M3" s="2">
        <f>B3-1</f>
        <v>45457</v>
      </c>
      <c r="N3">
        <f>AVERAGEIFS([1]Posts!N:N,[1]Posts!M:M,A3,[1]Posts!C:C, "&gt;="&amp;B3,[1]Posts!C:C,"&lt;="&amp;C3)</f>
        <v>7.5350276474912131E-2</v>
      </c>
      <c r="O3">
        <f>AVERAGEIFS([1]Posts!N:N,[1]Posts!M:M,A3,[1]Posts!C:C,"&gt;="&amp;L3,[1]Posts!C:C,"&lt;="&amp;M3)</f>
        <v>0.18256403002695071</v>
      </c>
      <c r="P3">
        <f>N3-O3</f>
        <v>-0.10721375355203858</v>
      </c>
      <c r="Q3">
        <f>SUMIFS([1]Posts!F:F,[1]Posts!M:M,A3) + SUMIFS([1]Posts!G:G,[1]Posts!M:M,A3) + SUMIFS([1]Posts!H:H,[1]Posts!M:M,A3)</f>
        <v>193900</v>
      </c>
      <c r="R3">
        <f>IF(D3=0,0,Q3/D3)</f>
        <v>1.2926666666666666</v>
      </c>
      <c r="S3">
        <f>SUMIFS('[1]Engagement Summary'!H:H,'[1]Engagement Summary'!A:A,"&gt;="&amp;B3,'[1]Engagement Summary'!A:A,"&lt;="&amp;C3)</f>
        <v>13523</v>
      </c>
    </row>
    <row r="4" spans="1:19" x14ac:dyDescent="0.3">
      <c r="A4" t="s">
        <v>21</v>
      </c>
      <c r="B4" s="2">
        <f>VLOOKUP(A4,'[1]Campaign Metadata'!A:E,2,FALSE)</f>
        <v>45566</v>
      </c>
      <c r="C4" s="2">
        <f>VLOOKUP(A4,'[1]Campaign Metadata'!A:E,3,FALSE)</f>
        <v>45596</v>
      </c>
      <c r="D4">
        <f>VLOOKUP(A4,'[1]Campaign Metadata'!A:E,5,FALSE)</f>
        <v>200000</v>
      </c>
      <c r="E4">
        <f>SUMIF([1]Posts!M:M,A4,[1]Posts!I:I)</f>
        <v>2318527</v>
      </c>
      <c r="F4">
        <f>SUMIF([1]Posts!M:M,A4,[1]Posts!F:F)</f>
        <v>185071</v>
      </c>
      <c r="G4">
        <f>SUMIF([1]Posts!M:M,A4,[1]Posts!K:K)</f>
        <v>11168</v>
      </c>
      <c r="H4">
        <f>AVERAGEIF([1]Posts!M:M,A4,[1]Posts!I:I)</f>
        <v>34095.98529411765</v>
      </c>
      <c r="I4">
        <f>AVERAGEIF([1]Posts!M:M,A4,[1]Posts!F:F)</f>
        <v>2721.6323529411766</v>
      </c>
      <c r="J4">
        <f>AVERAGEIF([1]Posts!M:M,A4,[1]Posts!K:K)</f>
        <v>164.23529411764707</v>
      </c>
      <c r="K4">
        <f>C4-B4+1</f>
        <v>31</v>
      </c>
      <c r="L4" s="2">
        <f>B4-K4</f>
        <v>45535</v>
      </c>
      <c r="M4" s="2">
        <f>B4-1</f>
        <v>45565</v>
      </c>
      <c r="N4">
        <f>AVERAGEIFS([1]Posts!N:N,[1]Posts!M:M,A4,[1]Posts!C:C, "&gt;="&amp;B4,[1]Posts!C:C,"&lt;="&amp;C4)</f>
        <v>0.15063544700706727</v>
      </c>
      <c r="O4">
        <f>AVERAGEIFS([1]Posts!N:N,[1]Posts!M:M,A4,[1]Posts!C:C,"&gt;="&amp;L4,[1]Posts!C:C,"&lt;="&amp;M4)</f>
        <v>0.14861302301188561</v>
      </c>
      <c r="P4">
        <f>N4-O4</f>
        <v>2.0224239951816547E-3</v>
      </c>
      <c r="Q4">
        <f>SUMIFS([1]Posts!F:F,[1]Posts!M:M,A4) + SUMIFS([1]Posts!G:G,[1]Posts!M:M,A4) + SUMIFS([1]Posts!H:H,[1]Posts!M:M,A4)</f>
        <v>233721</v>
      </c>
      <c r="R4">
        <f>IF(D4=0,0,Q4/D4)</f>
        <v>1.1686049999999999</v>
      </c>
      <c r="S4">
        <f>SUMIFS('[1]Engagement Summary'!H:H,'[1]Engagement Summary'!A:A,"&gt;="&amp;B4,'[1]Engagement Summary'!A:A,"&lt;="&amp;C4)</f>
        <v>11092</v>
      </c>
    </row>
    <row r="5" spans="1:19" x14ac:dyDescent="0.3">
      <c r="A5" t="s">
        <v>22</v>
      </c>
      <c r="B5" s="2">
        <f>VLOOKUP(A5,'[1]Campaign Metadata'!A:E,2,FALSE)</f>
        <v>45651</v>
      </c>
      <c r="C5" s="2">
        <f>VLOOKUP(A5,'[1]Campaign Metadata'!A:E,3,FALSE)</f>
        <v>45667</v>
      </c>
      <c r="D5">
        <f>VLOOKUP(A5,'[1]Campaign Metadata'!A:E,5,FALSE)</f>
        <v>250000</v>
      </c>
      <c r="E5">
        <f>SUMIF([1]Posts!M:M,A5,[1]Posts!I:I)</f>
        <v>2507489</v>
      </c>
      <c r="F5">
        <f>SUMIF([1]Posts!M:M,A5,[1]Posts!F:F)</f>
        <v>201400</v>
      </c>
      <c r="G5">
        <f>SUMIF([1]Posts!M:M,A5,[1]Posts!K:K)</f>
        <v>11039</v>
      </c>
      <c r="H5">
        <f>AVERAGEIF([1]Posts!M:M,A5,[1]Posts!I:I)</f>
        <v>32993.276315789473</v>
      </c>
      <c r="I5">
        <f>AVERAGEIF([1]Posts!M:M,A5,[1]Posts!F:F)</f>
        <v>2650</v>
      </c>
      <c r="J5">
        <f>AVERAGEIF([1]Posts!M:M,A5,[1]Posts!K:K)</f>
        <v>145.25</v>
      </c>
      <c r="K5">
        <f>C5-B5+1</f>
        <v>17</v>
      </c>
      <c r="L5" s="2">
        <f>B5-K5</f>
        <v>45634</v>
      </c>
      <c r="M5" s="2">
        <f>B5-1</f>
        <v>45650</v>
      </c>
      <c r="N5">
        <f>AVERAGEIFS([1]Posts!N:N,[1]Posts!M:M,A5,[1]Posts!C:C, "&gt;="&amp;B5,[1]Posts!C:C,"&lt;="&amp;C5)</f>
        <v>0.19036825680849678</v>
      </c>
      <c r="O5">
        <f>AVERAGEIFS([1]Posts!N:N,[1]Posts!M:M,A5,[1]Posts!C:C,"&gt;="&amp;L5,[1]Posts!C:C,"&lt;="&amp;M5)</f>
        <v>0.16098928280686362</v>
      </c>
      <c r="P5">
        <f>N5-O5</f>
        <v>2.9378974001633168E-2</v>
      </c>
      <c r="Q5">
        <f>SUMIFS([1]Posts!F:F,[1]Posts!M:M,A5) + SUMIFS([1]Posts!G:G,[1]Posts!M:M,A5) + SUMIFS([1]Posts!H:H,[1]Posts!M:M,A5)</f>
        <v>257608</v>
      </c>
      <c r="R5">
        <f>IF(D5=0,0,Q5/D5)</f>
        <v>1.030432</v>
      </c>
      <c r="S5">
        <f>SUMIFS('[1]Engagement Summary'!H:H,'[1]Engagement Summary'!A:A,"&gt;="&amp;B5,'[1]Engagement Summary'!A:A,"&lt;="&amp;C5)</f>
        <v>10087</v>
      </c>
    </row>
  </sheetData>
  <autoFilter ref="A1:S1" xr:uid="{1658C967-D042-4026-8242-1BAC0BF05C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2025-07-29T11:03:52Z</dcterms:created>
  <dcterms:modified xsi:type="dcterms:W3CDTF">2025-08-02T16:09:11Z</dcterms:modified>
</cp:coreProperties>
</file>